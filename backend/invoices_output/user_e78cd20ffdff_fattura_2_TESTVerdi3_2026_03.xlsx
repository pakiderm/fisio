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29400" windowHeight="17400" tabRatio="383" firstSheet="0" activeTab="0" autoFilterDateGrouping="1"/>
  </bookViews>
  <sheets>
    <sheet name="Fattur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-[$€-410]\ * #,##0.00_-;\-[$€-410]\ * #,##0.00_-;_-[$€-410]\ * &quot;-&quot;??_-;_-@_-"/>
    <numFmt numFmtId="165" formatCode="_-&quot;L.&quot;\ * #,##0.00_-;\-&quot;L.&quot;\ * #,##0.00_-;_-&quot;L.&quot;\ * &quot;-&quot;??_-;_-@_-"/>
    <numFmt numFmtId="166" formatCode="dd/mm/yyyy"/>
    <numFmt numFmtId="167" formatCode="0.##"/>
    <numFmt numFmtId="168" formatCode="#,##0.00 &quot;€&quot;"/>
  </numFmts>
  <fonts count="11">
    <font>
      <name val="Arial"/>
      <sz val="10"/>
    </font>
    <font>
      <name val="Arial"/>
      <family val="2"/>
      <sz val="10"/>
    </font>
    <font>
      <name val="Tahoma"/>
      <family val="2"/>
      <sz val="10"/>
    </font>
    <font>
      <name val="Tahoma"/>
      <family val="2"/>
      <sz val="9"/>
    </font>
    <font>
      <name val="Tahoma"/>
      <family val="2"/>
      <b val="1"/>
      <sz val="10"/>
    </font>
    <font>
      <name val="Tahoma"/>
      <family val="2"/>
      <b val="1"/>
      <sz val="8"/>
    </font>
    <font>
      <name val="Tahoma"/>
      <family val="2"/>
      <b val="1"/>
      <sz val="14"/>
    </font>
    <font>
      <name val="Tahoma"/>
      <family val="2"/>
      <sz val="11"/>
    </font>
    <font>
      <name val="Tahoma"/>
      <family val="2"/>
      <b val="1"/>
      <sz val="11"/>
    </font>
    <font>
      <name val="Tahoma"/>
      <family val="2"/>
      <b val="1"/>
      <sz val="12"/>
    </font>
    <font>
      <name val="Tahoma"/>
      <family val="2"/>
      <color theme="0"/>
      <sz val="10"/>
    </font>
  </fonts>
  <fills count="4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0.1499984740745262"/>
        <bgColor indexed="64"/>
      </patternFill>
    </fill>
  </fills>
  <borders count="17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hair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/>
    <xf numFmtId="165" fontId="1" fillId="0" borderId="0"/>
  </cellStyleXfs>
  <cellXfs count="85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14" fontId="2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5" fillId="2" borderId="0" applyAlignment="1" applyProtection="1" pivotButton="0" quotePrefix="0" xfId="0">
      <alignment horizontal="centerContinuous"/>
      <protection locked="0" hidden="0"/>
    </xf>
    <xf numFmtId="0" fontId="4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right"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8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vertical="center"/>
      <protection locked="0" hidden="0"/>
    </xf>
    <xf numFmtId="39" fontId="2" fillId="0" borderId="1" applyAlignment="1" pivotButton="0" quotePrefix="0" xfId="0">
      <alignment vertical="center"/>
    </xf>
    <xf numFmtId="9" fontId="2" fillId="0" borderId="1" applyAlignment="1" applyProtection="1" pivotButton="0" quotePrefix="0" xfId="1">
      <alignment vertical="center"/>
      <protection locked="0" hidden="0"/>
    </xf>
    <xf numFmtId="9" fontId="2" fillId="0" borderId="1" applyAlignment="1" pivotButton="0" quotePrefix="0" xfId="1">
      <alignment vertical="center"/>
    </xf>
    <xf numFmtId="0" fontId="9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right"/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14" fontId="2" fillId="0" borderId="0" applyAlignment="1" applyProtection="1" pivotButton="0" quotePrefix="0" xfId="0">
      <alignment horizontal="left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2" fillId="0" borderId="3" applyAlignment="1" applyProtection="1" pivotButton="0" quotePrefix="0" xfId="0">
      <alignment vertical="center"/>
      <protection locked="0" hidden="0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2" fillId="0" borderId="6" applyAlignment="1" applyProtection="1" pivotButton="0" quotePrefix="0" xfId="0">
      <alignment horizontal="center" vertical="center"/>
      <protection locked="0" hidden="0"/>
    </xf>
    <xf numFmtId="0" fontId="2" fillId="0" borderId="7" applyAlignment="1" applyProtection="1" pivotButton="0" quotePrefix="0" xfId="0">
      <alignment horizontal="right" vertical="center"/>
      <protection locked="0" hidden="0"/>
    </xf>
    <xf numFmtId="0" fontId="2" fillId="0" borderId="5" applyAlignment="1" applyProtection="1" pivotButton="0" quotePrefix="0" xfId="0">
      <alignment horizontal="right" vertical="center"/>
      <protection locked="0" hidden="0"/>
    </xf>
    <xf numFmtId="0" fontId="2" fillId="0" borderId="6" applyAlignment="1" applyProtection="1" pivotButton="0" quotePrefix="0" xfId="0">
      <alignment horizontal="right" vertical="center"/>
      <protection locked="0" hidden="0"/>
    </xf>
    <xf numFmtId="0" fontId="2" fillId="0" borderId="8" applyAlignment="1" applyProtection="1" pivotButton="0" quotePrefix="0" xfId="0">
      <alignment horizontal="right" vertical="center"/>
      <protection locked="0" hidden="0"/>
    </xf>
    <xf numFmtId="0" fontId="2" fillId="0" borderId="9" applyAlignment="1" applyProtection="1" pivotButton="0" quotePrefix="0" xfId="0">
      <alignment horizontal="right" vertical="center"/>
      <protection locked="0" hidden="0"/>
    </xf>
    <xf numFmtId="0" fontId="7" fillId="0" borderId="10" applyAlignment="1" applyProtection="1" pivotButton="0" quotePrefix="0" xfId="0">
      <alignment vertical="center"/>
      <protection locked="0" hidden="0"/>
    </xf>
    <xf numFmtId="0" fontId="7" fillId="0" borderId="11" applyAlignment="1" applyProtection="1" pivotButton="0" quotePrefix="0" xfId="0">
      <alignment vertical="center"/>
      <protection locked="0" hidden="0"/>
    </xf>
    <xf numFmtId="0" fontId="7" fillId="0" borderId="12" applyAlignment="1" applyProtection="1" pivotButton="0" quotePrefix="0" xfId="0">
      <alignment horizontal="right" vertical="center"/>
      <protection locked="0" hidden="0"/>
    </xf>
    <xf numFmtId="4" fontId="2" fillId="0" borderId="7" applyAlignment="1" pivotButton="0" quotePrefix="0" xfId="0">
      <alignment vertical="center"/>
    </xf>
    <xf numFmtId="4" fontId="2" fillId="0" borderId="8" applyAlignment="1" pivotButton="0" quotePrefix="0" xfId="0">
      <alignment vertical="center"/>
    </xf>
    <xf numFmtId="164" fontId="8" fillId="3" borderId="13" applyAlignment="1" pivotButton="0" quotePrefix="0" xfId="2">
      <alignment vertical="center"/>
    </xf>
    <xf numFmtId="0" fontId="2" fillId="0" borderId="14" applyAlignment="1" applyProtection="1" pivotButton="0" quotePrefix="0" xfId="0">
      <alignment vertical="center"/>
      <protection locked="0" hidden="0"/>
    </xf>
    <xf numFmtId="0" fontId="8" fillId="0" borderId="4" applyAlignment="1" applyProtection="1" pivotButton="0" quotePrefix="0" xfId="0">
      <alignment vertical="center"/>
      <protection locked="0" hidden="0"/>
    </xf>
    <xf numFmtId="14" fontId="2" fillId="0" borderId="1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4" fontId="2" fillId="0" borderId="8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right"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2" fillId="0" borderId="10" applyAlignment="1" applyProtection="1" pivotButton="0" quotePrefix="0" xfId="0">
      <alignment horizontal="center" vertical="center"/>
      <protection locked="0" hidden="0"/>
    </xf>
    <xf numFmtId="0" fontId="2" fillId="0" borderId="11" applyAlignment="1" applyProtection="1" pivotButton="0" quotePrefix="0" xfId="0">
      <alignment horizontal="center" vertical="center"/>
      <protection locked="0" hidden="0"/>
    </xf>
    <xf numFmtId="0" fontId="2" fillId="0" borderId="12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64" fontId="8" fillId="3" borderId="13" applyAlignment="1" pivotButton="0" quotePrefix="0" xfId="2">
      <alignment vertical="center"/>
    </xf>
    <xf numFmtId="166" fontId="2" fillId="0" borderId="0" applyAlignment="1" applyProtection="1" pivotButton="0" quotePrefix="0" xfId="0">
      <alignment horizontal="left"/>
      <protection locked="0" hidden="0"/>
    </xf>
    <xf numFmtId="167" fontId="10" fillId="0" borderId="1" applyAlignment="1" applyProtection="1" pivotButton="0" quotePrefix="0" xfId="0">
      <alignment vertical="center"/>
      <protection locked="0" hidden="0"/>
    </xf>
    <xf numFmtId="166" fontId="2" fillId="0" borderId="1" applyAlignment="1" applyProtection="1" pivotButton="0" quotePrefix="0" xfId="0">
      <alignment vertical="center"/>
      <protection locked="0" hidden="0"/>
    </xf>
    <xf numFmtId="168" fontId="2" fillId="0" borderId="1" applyAlignment="1" pivotButton="0" quotePrefix="0" xfId="0">
      <alignment vertical="center"/>
    </xf>
    <xf numFmtId="168" fontId="2" fillId="0" borderId="7" applyAlignment="1" pivotButton="0" quotePrefix="0" xfId="0">
      <alignment vertical="center"/>
    </xf>
    <xf numFmtId="168" fontId="8" fillId="3" borderId="13" applyAlignment="1" pivotButton="0" quotePrefix="0" xfId="2">
      <alignment vertical="center"/>
    </xf>
  </cellXfs>
  <cellStyles count="3">
    <cellStyle name="Normale" xfId="0" builtinId="0"/>
    <cellStyle name="Percentuale" xfId="1" builtinId="5"/>
    <cellStyle name="Valuta" xfId="2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topLeftCell="A4" workbookViewId="0">
      <selection activeCell="M27" sqref="M27"/>
    </sheetView>
  </sheetViews>
  <sheetFormatPr baseColWidth="10" defaultColWidth="9.1640625" defaultRowHeight="13.5" customHeight="1"/>
  <cols>
    <col width="10.5" customWidth="1" style="2" min="1" max="1"/>
    <col width="11.5" customWidth="1" style="2" min="2" max="2"/>
    <col width="35.6640625" customWidth="1" style="2" min="3" max="3"/>
    <col hidden="1" width="3.33203125" customWidth="1" style="2" min="4" max="4"/>
    <col hidden="1" width="5.1640625" customWidth="1" style="2" min="5" max="5"/>
    <col hidden="1" width="4" customWidth="1" style="2" min="6" max="6"/>
    <col width="14" customWidth="1" style="2" min="7" max="7"/>
    <col width="7.83203125" customWidth="1" style="2" min="8" max="8"/>
    <col width="9.1640625" customWidth="1" style="2" min="9" max="16384"/>
  </cols>
  <sheetData>
    <row r="1" ht="15" customFormat="1" customHeight="1" s="44">
      <c r="A1" s="70" t="inlineStr">
        <is>
          <t>dr. Mauro Reielli</t>
        </is>
      </c>
      <c r="B1" s="75" t="n"/>
      <c r="C1" s="75" t="n"/>
      <c r="D1" s="75" t="n"/>
      <c r="E1" s="75" t="n"/>
      <c r="F1" s="75" t="n"/>
      <c r="G1" s="75" t="n"/>
      <c r="H1" s="75" t="n"/>
    </row>
    <row r="2" ht="15" customHeight="1">
      <c r="A2" s="72" t="inlineStr">
        <is>
          <t>Via Claudio Guerdile, 10</t>
        </is>
      </c>
      <c r="B2" s="75" t="n"/>
      <c r="C2" s="75" t="n"/>
      <c r="D2" s="75" t="n"/>
      <c r="E2" s="75" t="n"/>
      <c r="F2" s="75" t="n"/>
      <c r="G2" s="75" t="n"/>
      <c r="H2" s="75" t="n"/>
    </row>
    <row r="3" ht="15" customHeight="1">
      <c r="A3" s="72" t="inlineStr">
        <is>
          <t>Tel. 3482348896  E-mail reiellim@gmail.com</t>
        </is>
      </c>
      <c r="B3" s="75" t="n"/>
      <c r="C3" s="75" t="n"/>
      <c r="D3" s="75" t="n"/>
      <c r="E3" s="75" t="n"/>
      <c r="F3" s="75" t="n"/>
      <c r="G3" s="75" t="n"/>
      <c r="H3" s="75" t="n"/>
    </row>
    <row r="4" ht="15" customHeight="1">
      <c r="A4" s="72" t="inlineStr">
        <is>
          <t>Partita Iva 06268110654</t>
        </is>
      </c>
      <c r="B4" s="75" t="n"/>
      <c r="C4" s="75" t="n"/>
      <c r="D4" s="75" t="n"/>
      <c r="E4" s="75" t="n"/>
      <c r="F4" s="75" t="n"/>
      <c r="G4" s="75" t="n"/>
      <c r="H4" s="75" t="n"/>
    </row>
    <row r="5" ht="15" customHeight="1">
      <c r="A5" s="2" t="n"/>
      <c r="B5" s="2" t="n"/>
      <c r="C5" s="3" t="n"/>
      <c r="D5" s="2" t="n"/>
      <c r="E5" s="2" t="n"/>
      <c r="F5" s="2" t="n"/>
      <c r="G5" s="2" t="n"/>
      <c r="H5" s="2" t="n"/>
    </row>
    <row r="6" ht="15" customHeight="1"/>
    <row r="7" ht="15" customHeight="1">
      <c r="A7" s="19" t="inlineStr">
        <is>
          <t>Fattura n</t>
        </is>
      </c>
      <c r="B7" s="43" t="inlineStr">
        <is>
          <t>2/HCP</t>
        </is>
      </c>
      <c r="C7" s="20" t="n"/>
      <c r="G7" s="44" t="inlineStr">
        <is>
          <t>TESTVERDI3 TESTLUCA</t>
        </is>
      </c>
    </row>
    <row r="8" ht="15" customHeight="1">
      <c r="A8" s="19" t="inlineStr">
        <is>
          <t>del</t>
        </is>
      </c>
      <c r="B8" s="79" t="n">
        <v>46295</v>
      </c>
      <c r="C8" s="21" t="n"/>
      <c r="E8" s="2" t="inlineStr">
        <is>
          <t>Cliente</t>
        </is>
      </c>
      <c r="G8" s="2" t="inlineStr">
        <is>
          <t>VRDLCU80A01H501Z</t>
        </is>
      </c>
    </row>
    <row r="9" ht="15" customHeight="1">
      <c r="A9" s="18" t="n"/>
      <c r="B9" s="18" t="n"/>
      <c r="E9" s="17" t="inlineStr">
        <is>
          <t>TESTLuca TESTVerdi3</t>
        </is>
      </c>
      <c r="G9" s="2" t="inlineStr"/>
    </row>
    <row r="10" ht="15" customHeight="1">
      <c r="A10" s="4" t="n"/>
      <c r="B10" s="4" t="n"/>
      <c r="C10" s="2" t="n"/>
      <c r="D10" s="2" t="n"/>
      <c r="E10" s="2" t="n"/>
      <c r="F10" s="2" t="n"/>
      <c r="G10" s="2" t="inlineStr"/>
      <c r="H10" s="2" t="n"/>
    </row>
    <row r="11" ht="15" customHeight="1">
      <c r="A11" s="2" t="n"/>
      <c r="B11" s="2" t="n"/>
      <c r="C11" s="44" t="inlineStr">
        <is>
          <t>Pratica HCP HCP1</t>
        </is>
      </c>
      <c r="D11" s="2" t="n"/>
      <c r="E11" s="2" t="n"/>
      <c r="F11" s="2" t="n"/>
      <c r="G11" s="2" t="n"/>
      <c r="H11" s="2" t="n"/>
    </row>
    <row r="12" ht="15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15" customHeight="1">
      <c r="A13" s="73" t="n"/>
      <c r="B13" s="73" t="inlineStr">
        <is>
          <t>data</t>
        </is>
      </c>
      <c r="C13" s="73" t="inlineStr">
        <is>
          <t>Descrizione</t>
        </is>
      </c>
      <c r="D13" s="76" t="n"/>
      <c r="E13" s="76" t="n"/>
      <c r="F13" s="76" t="n"/>
      <c r="G13" s="73" t="inlineStr">
        <is>
          <t>Importo</t>
        </is>
      </c>
      <c r="H13" s="73" t="inlineStr">
        <is>
          <t>Iva</t>
        </is>
      </c>
    </row>
    <row r="14" ht="15" customHeight="1">
      <c r="A14" s="80" t="n">
        <v>1</v>
      </c>
      <c r="B14" s="81" t="n">
        <v>46082</v>
      </c>
      <c r="C14" s="74" t="inlineStr">
        <is>
          <t>Seduta fisioterapia</t>
        </is>
      </c>
      <c r="D14" s="76" t="n"/>
      <c r="E14" s="76" t="n"/>
      <c r="F14" s="76" t="n"/>
      <c r="G14" s="82">
        <f>SUM(A14*50.0)</f>
        <v/>
      </c>
      <c r="H14" s="15" t="inlineStr">
        <is>
          <t>esente</t>
        </is>
      </c>
    </row>
    <row r="15" ht="15" customHeight="1">
      <c r="A15" s="80" t="n">
        <v>1</v>
      </c>
      <c r="B15" s="81" t="n">
        <v>46083</v>
      </c>
      <c r="C15" s="66" t="inlineStr">
        <is>
          <t>Seduta fisioterapia</t>
        </is>
      </c>
      <c r="D15" s="76" t="n"/>
      <c r="E15" s="76" t="n"/>
      <c r="F15" s="76" t="n"/>
      <c r="G15" s="82">
        <f>SUM(A15*50.0)</f>
        <v/>
      </c>
      <c r="H15" s="16">
        <f>IF(G15,H$14,0)</f>
        <v/>
      </c>
    </row>
    <row r="16" ht="15" customHeight="1">
      <c r="A16" s="80" t="n">
        <v>1</v>
      </c>
      <c r="B16" s="81" t="n">
        <v>46084</v>
      </c>
      <c r="C16" s="66" t="inlineStr">
        <is>
          <t>Seduta fisioterapia</t>
        </is>
      </c>
      <c r="D16" s="76" t="n"/>
      <c r="E16" s="76" t="n"/>
      <c r="F16" s="76" t="n"/>
      <c r="G16" s="82">
        <f>SUM(A16*50.0)</f>
        <v/>
      </c>
      <c r="H16" s="16">
        <f>IF(G16,H$14,0)</f>
        <v/>
      </c>
    </row>
    <row r="17" ht="15" customHeight="1">
      <c r="A17" s="48" t="n"/>
      <c r="B17" s="42" t="n"/>
      <c r="C17" s="66" t="n"/>
      <c r="D17" s="76" t="n"/>
      <c r="E17" s="76" t="n"/>
      <c r="F17" s="76" t="n"/>
      <c r="G17" s="14" t="n"/>
      <c r="H17" s="16" t="n"/>
    </row>
    <row r="18" ht="15" customHeight="1">
      <c r="A18" s="48" t="n"/>
      <c r="B18" s="42" t="n"/>
      <c r="C18" s="58" t="n"/>
      <c r="D18" s="59" t="n"/>
      <c r="E18" s="59" t="n"/>
      <c r="F18" s="60" t="n"/>
      <c r="G18" s="14" t="n"/>
      <c r="H18" s="16" t="n"/>
    </row>
    <row r="19" ht="15" customHeight="1">
      <c r="A19" s="48" t="n"/>
      <c r="B19" s="42" t="n"/>
      <c r="C19" s="58" t="n"/>
      <c r="D19" s="59" t="n"/>
      <c r="E19" s="59" t="n"/>
      <c r="F19" s="60" t="n"/>
      <c r="G19" s="14" t="n"/>
      <c r="H19" s="16" t="n"/>
    </row>
    <row r="20" ht="15" customHeight="1">
      <c r="A20" s="48" t="n"/>
      <c r="B20" s="42" t="n"/>
      <c r="C20" s="58" t="n"/>
      <c r="D20" s="59" t="n"/>
      <c r="E20" s="59" t="n"/>
      <c r="F20" s="60" t="n"/>
      <c r="G20" s="14" t="n"/>
      <c r="H20" s="16" t="n"/>
    </row>
    <row r="21" ht="15" customHeight="1">
      <c r="A21" s="48" t="n"/>
      <c r="B21" s="42" t="n"/>
      <c r="C21" s="58" t="n"/>
      <c r="D21" s="59" t="n"/>
      <c r="E21" s="59" t="n"/>
      <c r="F21" s="60" t="n"/>
      <c r="G21" s="14" t="n"/>
      <c r="H21" s="16" t="n"/>
    </row>
    <row r="22" ht="15" customHeight="1">
      <c r="A22" s="48" t="n"/>
      <c r="B22" s="42" t="n"/>
      <c r="C22" s="58" t="n"/>
      <c r="D22" s="59" t="n"/>
      <c r="E22" s="59" t="n"/>
      <c r="F22" s="60" t="n"/>
      <c r="G22" s="14" t="n"/>
      <c r="H22" s="16" t="n"/>
    </row>
    <row r="23" ht="15" customHeight="1">
      <c r="A23" s="48" t="n"/>
      <c r="B23" s="42" t="n"/>
      <c r="C23" s="58" t="n"/>
      <c r="D23" s="59" t="n"/>
      <c r="E23" s="59" t="n"/>
      <c r="F23" s="60" t="n"/>
      <c r="G23" s="14" t="n"/>
      <c r="H23" s="16" t="n"/>
    </row>
    <row r="24" ht="15" customHeight="1">
      <c r="A24" s="13" t="n"/>
      <c r="B24" s="23" t="n"/>
      <c r="C24" s="67" t="n"/>
      <c r="D24" s="68" t="n"/>
      <c r="E24" s="68" t="n"/>
      <c r="F24" s="69" t="n"/>
      <c r="G24" s="14" t="n"/>
      <c r="H24" s="16" t="n"/>
    </row>
    <row r="25" ht="15" customHeight="1">
      <c r="A25" s="13" t="n"/>
      <c r="B25" s="23" t="n"/>
      <c r="C25" s="67" t="n"/>
      <c r="D25" s="76" t="n"/>
      <c r="E25" s="76" t="n"/>
      <c r="F25" s="76" t="n"/>
      <c r="G25" s="14" t="n"/>
      <c r="H25" s="16" t="n"/>
    </row>
    <row r="26" ht="15" customHeight="1">
      <c r="A26" s="13" t="n"/>
      <c r="B26" s="13" t="n"/>
      <c r="C26" s="64" t="n"/>
      <c r="D26" s="76" t="n"/>
      <c r="E26" s="76" t="n"/>
      <c r="F26" s="76" t="n"/>
      <c r="G26" s="14" t="n"/>
      <c r="H26" s="16" t="n"/>
    </row>
    <row r="27" ht="15" customHeight="1">
      <c r="A27" s="13" t="n"/>
      <c r="B27" s="13" t="n"/>
      <c r="C27" s="64" t="n"/>
      <c r="D27" s="76" t="n"/>
      <c r="E27" s="76" t="n"/>
      <c r="F27" s="76" t="n"/>
      <c r="G27" s="14" t="n"/>
      <c r="H27" s="16" t="n"/>
    </row>
    <row r="28" ht="15" customHeight="1">
      <c r="A28" s="13" t="n"/>
      <c r="B28" s="13" t="n"/>
      <c r="C28" s="64" t="n"/>
      <c r="D28" s="76" t="n"/>
      <c r="E28" s="76" t="n"/>
      <c r="F28" s="76" t="n"/>
      <c r="G28" s="14" t="n"/>
      <c r="H28" s="16" t="n"/>
    </row>
    <row r="29" ht="15" customHeight="1">
      <c r="A29" s="13" t="n"/>
      <c r="B29" s="13" t="n"/>
      <c r="C29" s="65" t="n"/>
      <c r="D29" s="76" t="n"/>
      <c r="E29" s="76" t="n"/>
      <c r="F29" s="76" t="n"/>
      <c r="G29" s="14" t="n"/>
      <c r="H29" s="16" t="n"/>
    </row>
    <row r="30" ht="15" customHeight="1">
      <c r="A30" s="13" t="n"/>
      <c r="B30" s="13" t="n"/>
      <c r="C30" s="66" t="n"/>
      <c r="D30" s="76" t="n"/>
      <c r="E30" s="76" t="n"/>
      <c r="F30" s="76" t="n"/>
      <c r="G30" s="14" t="n"/>
      <c r="H30" s="16" t="n"/>
    </row>
    <row r="31" ht="15" customHeight="1">
      <c r="A31" s="58" t="inlineStr">
        <is>
          <t xml:space="preserve">La presente fattura è esente dall’Imposta sul Valore aggiunto </t>
        </is>
      </c>
      <c r="B31" s="76" t="n"/>
      <c r="C31" s="76" t="n"/>
      <c r="D31" s="27" t="n"/>
      <c r="E31" s="27" t="n"/>
      <c r="F31" s="28" t="n"/>
      <c r="G31" s="14" t="n"/>
      <c r="H31" s="16" t="n"/>
    </row>
    <row r="32" ht="15" customHeight="1">
      <c r="A32" s="61" t="inlineStr">
        <is>
          <t>ai sensi dell’art. 10, c. 1, n. 18) D.P.R. 633/72”</t>
        </is>
      </c>
      <c r="B32" s="77" t="n"/>
      <c r="C32" s="77" t="n"/>
      <c r="D32" s="77" t="n"/>
      <c r="E32" s="77" t="n"/>
      <c r="F32" s="77" t="n"/>
      <c r="G32" s="14" t="n"/>
      <c r="H32" s="16" t="n"/>
    </row>
    <row r="33" ht="15" customHeight="1">
      <c r="A33" s="26" t="n"/>
      <c r="B33" s="26" t="n"/>
      <c r="C33" s="57" t="inlineStr">
        <is>
          <t>Bollo</t>
        </is>
      </c>
      <c r="D33" s="77" t="n"/>
      <c r="E33" s="77" t="n"/>
      <c r="F33" s="77" t="n"/>
      <c r="G33" s="82" t="n">
        <v>2</v>
      </c>
      <c r="H33" s="16" t="n"/>
    </row>
    <row r="34" ht="15" customHeight="1">
      <c r="A34" s="29" t="n"/>
      <c r="B34" s="30" t="n"/>
      <c r="C34" s="31" t="inlineStr">
        <is>
          <t>Imponibile</t>
        </is>
      </c>
      <c r="D34" s="7" t="n"/>
      <c r="E34" s="8" t="inlineStr">
        <is>
          <t>Imponibile</t>
        </is>
      </c>
      <c r="F34" s="24" t="n"/>
      <c r="G34" s="83">
        <f>SUM(G14:G16)</f>
        <v/>
      </c>
      <c r="H34" s="25" t="n"/>
    </row>
    <row r="35" ht="15" customHeight="1">
      <c r="A35" s="32" t="n"/>
      <c r="B35" s="24" t="n"/>
      <c r="C35" s="33" t="inlineStr">
        <is>
          <t>Iva</t>
        </is>
      </c>
      <c r="D35" s="7" t="n"/>
      <c r="E35" s="8" t="inlineStr">
        <is>
          <t>Iva esente</t>
        </is>
      </c>
      <c r="F35" s="24" t="n"/>
      <c r="G35" s="38">
        <f>H14</f>
        <v/>
      </c>
      <c r="H35" s="40" t="n"/>
    </row>
    <row r="36" ht="15" customHeight="1">
      <c r="A36" s="34" t="n"/>
      <c r="B36" s="35" t="n"/>
      <c r="C36" s="36" t="inlineStr">
        <is>
          <t>Totale fattura</t>
        </is>
      </c>
      <c r="D36" s="10" t="n"/>
      <c r="E36" s="11" t="inlineStr">
        <is>
          <t>TOTALE FATTURA</t>
        </is>
      </c>
      <c r="F36" s="12" t="n"/>
      <c r="G36" s="84">
        <f>G34+G33</f>
        <v/>
      </c>
      <c r="H36" s="41" t="n"/>
    </row>
    <row r="37" ht="13.5" customHeight="1">
      <c r="A37" s="4" t="n"/>
      <c r="B37" s="4" t="n"/>
      <c r="C37" s="2" t="n"/>
      <c r="D37" s="5" t="n"/>
      <c r="E37" s="2" t="n"/>
      <c r="F37" s="2" t="n"/>
      <c r="G37" s="2" t="n"/>
      <c r="H37" s="2" t="n"/>
    </row>
    <row r="38" ht="13.5" customHeight="1">
      <c r="A38" s="4" t="n"/>
      <c r="B38" s="4" t="n"/>
    </row>
  </sheetData>
  <mergeCells count="18">
    <mergeCell ref="C13:F13"/>
    <mergeCell ref="A4:H4"/>
    <mergeCell ref="A3:H3"/>
    <mergeCell ref="C17:F17"/>
    <mergeCell ref="C14:F14"/>
    <mergeCell ref="A2:H2"/>
    <mergeCell ref="C26:F26"/>
    <mergeCell ref="A31:C31"/>
    <mergeCell ref="A32:F32"/>
    <mergeCell ref="C29:F29"/>
    <mergeCell ref="C30:F30"/>
    <mergeCell ref="C16:F16"/>
    <mergeCell ref="C15:F15"/>
    <mergeCell ref="C33:F33"/>
    <mergeCell ref="C25:F25"/>
    <mergeCell ref="A1:H1"/>
    <mergeCell ref="C27:F27"/>
    <mergeCell ref="C28:F2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Danea</dc:creator>
  <dc:title>Modello fattura in Excel</dc:title>
  <dc:description>www.danea.it</dc:description>
  <dc:subject>Fac simile fattura</dc:subject>
  <dcterms:created xsi:type="dcterms:W3CDTF">2003-04-23T08:59:25Z</dcterms:created>
  <dcterms:modified xsi:type="dcterms:W3CDTF">2026-09-30T21:31:30Z</dcterms:modified>
  <cp:lastModifiedBy>Mauro Reielli</cp:lastModifiedBy>
  <cp:category>Fatturazione</cp:category>
  <cp:keywords>fattura</cp:keywords>
  <cp:lastPrinted>2026-01-28T14:46:57Z</cp:lastPrinted>
</cp:coreProperties>
</file>