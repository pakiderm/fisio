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79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 xml:space="preserve">Via Claudio Guerdile, 10 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 xml:space="preserve">Tel. 3482348896  E-mail reiellim@gmail.com 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4/HCP</t>
        </is>
      </c>
      <c r="C7" s="20" t="n"/>
      <c r="G7" s="44" t="inlineStr">
        <is>
          <t>ARIENZO MARIA</t>
        </is>
      </c>
    </row>
    <row r="8" ht="15" customHeight="1">
      <c r="A8" s="19" t="inlineStr">
        <is>
          <t>del</t>
        </is>
      </c>
      <c r="B8" s="21" t="n">
        <v>46053</v>
      </c>
      <c r="C8" s="21" t="n"/>
      <c r="E8" s="2" t="inlineStr">
        <is>
          <t>Cliente</t>
        </is>
      </c>
      <c r="G8" s="2" t="inlineStr">
        <is>
          <t>RNZMRA37D56G426H</t>
        </is>
      </c>
    </row>
    <row r="9" ht="15" customHeight="1">
      <c r="A9" s="18" t="n"/>
      <c r="B9" s="18" t="n"/>
      <c r="E9" s="17" t="inlineStr">
        <is>
          <t>Arienzo Maria</t>
        </is>
      </c>
      <c r="G9" s="2" t="inlineStr">
        <is>
          <t>Via G. Amendola, 17</t>
        </is>
      </c>
    </row>
    <row r="10" ht="15" customHeight="1">
      <c r="A10" s="4" t="n"/>
      <c r="B10" s="4" t="n"/>
      <c r="C10" s="2" t="n"/>
      <c r="D10" s="2" t="n"/>
      <c r="E10" s="2" t="n"/>
      <c r="F10" s="2" t="n"/>
      <c r="G10" s="2" t="inlineStr">
        <is>
          <t>Salerno</t>
        </is>
      </c>
      <c r="H10" s="2" t="n"/>
    </row>
    <row r="11" ht="15" customHeight="1">
      <c r="A11" s="2" t="n"/>
      <c r="B11" s="2" t="n"/>
      <c r="C11" s="44" t="inlineStr">
        <is>
          <t>Pratica HCP 02500058165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48" t="n">
        <v>1.5</v>
      </c>
      <c r="B14" s="42" t="n">
        <v>46031</v>
      </c>
      <c r="C14" s="74" t="inlineStr">
        <is>
          <t>Seduta fisioterapia</t>
        </is>
      </c>
      <c r="D14" s="76" t="n"/>
      <c r="E14" s="76" t="n"/>
      <c r="F14" s="76" t="n"/>
      <c r="G14" s="14">
        <f>SUM(A14*50)</f>
        <v/>
      </c>
      <c r="H14" s="15" t="inlineStr">
        <is>
          <t>esente</t>
        </is>
      </c>
    </row>
    <row r="15" ht="15" customHeight="1">
      <c r="A15" s="48" t="n">
        <v>1.5</v>
      </c>
      <c r="B15" s="42" t="n">
        <v>46035</v>
      </c>
      <c r="C15" s="66" t="inlineStr">
        <is>
          <t>Seduta fisioterapia</t>
        </is>
      </c>
      <c r="D15" s="76" t="n"/>
      <c r="E15" s="76" t="n"/>
      <c r="F15" s="76" t="n"/>
      <c r="G15" s="14">
        <f>SUM(A15*50)</f>
        <v/>
      </c>
      <c r="H15" s="16">
        <f>IF(G15,H$14,0)</f>
        <v/>
      </c>
    </row>
    <row r="16" ht="15" customHeight="1">
      <c r="A16" s="48" t="n">
        <v>1.5</v>
      </c>
      <c r="B16" s="42" t="n">
        <v>46038</v>
      </c>
      <c r="C16" s="66" t="inlineStr">
        <is>
          <t>Seduta fisioterapia</t>
        </is>
      </c>
      <c r="D16" s="76" t="n"/>
      <c r="E16" s="76" t="n"/>
      <c r="F16" s="76" t="n"/>
      <c r="G16" s="14">
        <f>SUM(A16*50)</f>
        <v/>
      </c>
      <c r="H16" s="16">
        <f>IF(G16,H$14,0)</f>
        <v/>
      </c>
    </row>
    <row r="17" ht="15" customHeight="1">
      <c r="A17" s="48" t="n">
        <v>1.5</v>
      </c>
      <c r="B17" s="42" t="n">
        <v>46042</v>
      </c>
      <c r="C17" s="66" t="inlineStr">
        <is>
          <t>Seduta fisioterapia</t>
        </is>
      </c>
      <c r="D17" s="76" t="n"/>
      <c r="E17" s="76" t="n"/>
      <c r="F17" s="76" t="n"/>
      <c r="G17" s="14">
        <f>SUM(A17*50)</f>
        <v/>
      </c>
      <c r="H17" s="16">
        <f>IF(G17,H$14,0)</f>
        <v/>
      </c>
    </row>
    <row r="18" ht="15" customHeight="1">
      <c r="A18" s="48" t="n">
        <v>1.5</v>
      </c>
      <c r="B18" s="42" t="n">
        <v>46045</v>
      </c>
      <c r="C18" s="58" t="inlineStr">
        <is>
          <t>Seduta fisioterapia</t>
        </is>
      </c>
      <c r="D18" s="59" t="n"/>
      <c r="E18" s="59" t="n"/>
      <c r="F18" s="60" t="n"/>
      <c r="G18" s="14">
        <f>SUM(A18*50)</f>
        <v/>
      </c>
      <c r="H18" s="16">
        <f>IF(G18,H$14,0)</f>
        <v/>
      </c>
    </row>
    <row r="19" ht="15" customHeight="1">
      <c r="A19" s="48" t="n">
        <v>1.5</v>
      </c>
      <c r="B19" s="42" t="n">
        <v>46049</v>
      </c>
      <c r="C19" s="58" t="inlineStr">
        <is>
          <t>Seduta fisioterapia</t>
        </is>
      </c>
      <c r="D19" s="59" t="n"/>
      <c r="E19" s="59" t="n"/>
      <c r="F19" s="60" t="n"/>
      <c r="G19" s="14">
        <f>SUM(A19*50)</f>
        <v/>
      </c>
      <c r="H19" s="16">
        <f>IF(G19,H$14,0)</f>
        <v/>
      </c>
    </row>
    <row r="20" ht="15" customHeight="1">
      <c r="A20" s="48" t="n">
        <v>1.5</v>
      </c>
      <c r="B20" s="42" t="n">
        <v>46052</v>
      </c>
      <c r="C20" s="58" t="inlineStr">
        <is>
          <t>Seduta fisioterapia</t>
        </is>
      </c>
      <c r="D20" s="59" t="n"/>
      <c r="E20" s="59" t="n"/>
      <c r="F20" s="60" t="n"/>
      <c r="G20" s="14">
        <f>SUM(A20*50)</f>
        <v/>
      </c>
      <c r="H20" s="16">
        <f>IF(G20,H$14,0)</f>
        <v/>
      </c>
    </row>
    <row r="21" ht="15" customHeight="1">
      <c r="A21" s="48" t="n">
        <v>1.5</v>
      </c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>
        <v>1.5</v>
      </c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>
        <v>1.5</v>
      </c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14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37">
        <f>SUM(G14:G33)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78">
        <f>SUM(G34:G35)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2026-09-30T20:33:49Z</dcterms:modified>
  <cp:lastModifiedBy>Mauro Reielli</cp:lastModifiedBy>
  <cp:category>Fatturazione</cp:category>
  <cp:keywords>fattura</cp:keywords>
  <cp:lastPrinted>2026-01-28T14:46:57Z</cp:lastPrinted>
</cp:coreProperties>
</file>