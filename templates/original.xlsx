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130"/>
  <workbookPr dateCompatibility="0" codeName="ThisWorkbook"/>
  <mc:AlternateContent xmlns:mc="http://schemas.openxmlformats.org/markup-compatibility/2006">
    <mc:Choice Requires="x15">
      <x15ac:absPath xmlns:x15ac="http://schemas.microsoft.com/office/spreadsheetml/2010/11/ac" url="/Users/mauroreielli/Downloads/"/>
    </mc:Choice>
  </mc:AlternateContent>
  <xr:revisionPtr revIDLastSave="0" documentId="8_{0B98DBA3-8F14-534A-8891-10ED7FFAF8F1}" xr6:coauthVersionLast="47" xr6:coauthVersionMax="47" xr10:uidLastSave="{00000000-0000-0000-0000-000000000000}"/>
  <bookViews>
    <workbookView xWindow="0" yWindow="660" windowWidth="29400" windowHeight="17400" tabRatio="383" activeTab="4" xr2:uid="{D63D0969-9183-4642-94BA-6AA319A6C1C9}"/>
  </bookViews>
  <sheets>
    <sheet name="fattura 4" sheetId="18" r:id="rId1"/>
    <sheet name="fattura 14" sheetId="19" r:id="rId2"/>
    <sheet name="fattura 23" sheetId="21" r:id="rId3"/>
    <sheet name="fattura 341 (2)" sheetId="22" r:id="rId4"/>
    <sheet name="fattura 41" sheetId="20" r:id="rId5"/>
    <sheet name="Foglio5" sheetId="5" r:id="rId6"/>
    <sheet name="Foglio6" sheetId="6" r:id="rId7"/>
    <sheet name="Foglio7" sheetId="7" r:id="rId8"/>
    <sheet name="Foglio8" sheetId="8" r:id="rId9"/>
    <sheet name="Foglio9" sheetId="9" r:id="rId10"/>
    <sheet name="Foglio10" sheetId="10" r:id="rId11"/>
    <sheet name="Foglio11" sheetId="11" r:id="rId12"/>
    <sheet name="Foglio12" sheetId="12" r:id="rId13"/>
    <sheet name="Foglio13" sheetId="13" r:id="rId14"/>
    <sheet name="Foglio14" sheetId="14" r:id="rId15"/>
    <sheet name="Foglio15" sheetId="15" r:id="rId16"/>
    <sheet name="Foglio16" sheetId="16" r:id="rId17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G19" i="20" l="1"/>
  <c r="H19" i="20" s="1"/>
  <c r="G20" i="20"/>
  <c r="H20" i="20" s="1"/>
  <c r="G21" i="20"/>
  <c r="H21" i="20" s="1"/>
  <c r="G35" i="22"/>
  <c r="G18" i="22"/>
  <c r="G17" i="22"/>
  <c r="G16" i="22"/>
  <c r="G15" i="22"/>
  <c r="H15" i="22" s="1"/>
  <c r="G14" i="22"/>
  <c r="G34" i="22" s="1"/>
  <c r="G36" i="22" s="1"/>
  <c r="G14" i="20"/>
  <c r="G34" i="20" s="1"/>
  <c r="G36" i="20" s="1"/>
  <c r="G15" i="20"/>
  <c r="H15" i="20" s="1"/>
  <c r="G16" i="20"/>
  <c r="H16" i="20" s="1"/>
  <c r="G17" i="20"/>
  <c r="H17" i="20" s="1"/>
  <c r="G18" i="20"/>
  <c r="H18" i="20"/>
  <c r="G35" i="20"/>
  <c r="G14" i="21"/>
  <c r="G34" i="21" s="1"/>
  <c r="G36" i="21" s="1"/>
  <c r="G15" i="21"/>
  <c r="H15" i="21" s="1"/>
  <c r="G16" i="21"/>
  <c r="H16" i="21" s="1"/>
  <c r="G17" i="21"/>
  <c r="H17" i="21"/>
  <c r="G18" i="21"/>
  <c r="H18" i="21"/>
  <c r="G19" i="21"/>
  <c r="H19" i="21"/>
  <c r="G20" i="21"/>
  <c r="H20" i="21" s="1"/>
  <c r="G35" i="21"/>
  <c r="G14" i="19"/>
  <c r="G15" i="19"/>
  <c r="H15" i="19"/>
  <c r="G16" i="19"/>
  <c r="H16" i="19"/>
  <c r="G17" i="19"/>
  <c r="H17" i="19" s="1"/>
  <c r="G18" i="19"/>
  <c r="H18" i="19" s="1"/>
  <c r="G19" i="19"/>
  <c r="H19" i="19"/>
  <c r="G20" i="19"/>
  <c r="H20" i="19"/>
  <c r="G35" i="19"/>
  <c r="G14" i="18"/>
  <c r="G15" i="18"/>
  <c r="H15" i="18" s="1"/>
  <c r="G16" i="18"/>
  <c r="H16" i="18"/>
  <c r="G17" i="18"/>
  <c r="G34" i="18" s="1"/>
  <c r="G36" i="18" s="1"/>
  <c r="H17" i="18"/>
  <c r="G18" i="18"/>
  <c r="H18" i="18"/>
  <c r="G19" i="18"/>
  <c r="H19" i="18" s="1"/>
  <c r="G20" i="18"/>
  <c r="H20" i="18" s="1"/>
  <c r="G35" i="18"/>
  <c r="H18" i="22"/>
  <c r="H17" i="22"/>
  <c r="H16" i="22"/>
  <c r="G34" i="19" l="1"/>
  <c r="G36" i="19" s="1"/>
</calcChain>
</file>

<file path=xl/sharedStrings.xml><?xml version="1.0" encoding="utf-8"?>
<sst xmlns="http://purl.oclc.org/ooxml/spreadsheetml/main" count="174" uniqueCount="31">
  <si>
    <t>Descrizione</t>
  </si>
  <si>
    <t>Importo</t>
  </si>
  <si>
    <t>TOTALE FATTURA</t>
  </si>
  <si>
    <t>Imponibile</t>
  </si>
  <si>
    <t>Iva</t>
  </si>
  <si>
    <t>Iva esente</t>
  </si>
  <si>
    <t xml:space="preserve">Via Claudio Guerdile, 10 </t>
  </si>
  <si>
    <t xml:space="preserve">Tel. 3482348896  E-mail reiellim@gmail.com </t>
  </si>
  <si>
    <t>Partita Iva 06268110654</t>
  </si>
  <si>
    <t>dr. Mauro Reielli</t>
  </si>
  <si>
    <t>Arienzo Maria</t>
  </si>
  <si>
    <t>Bollo</t>
  </si>
  <si>
    <t>Cliente</t>
  </si>
  <si>
    <t>Fattura n</t>
  </si>
  <si>
    <t>del</t>
  </si>
  <si>
    <t>ai sensi dell’art. 10, c. 1, n. 18) D.P.R. 633/72”</t>
  </si>
  <si>
    <t xml:space="preserve">La presente fattura è esente dall’Imposta sul Valore aggiunto </t>
  </si>
  <si>
    <t>ARIENZO MARIA</t>
  </si>
  <si>
    <t>RNZMRA37D56G426H</t>
  </si>
  <si>
    <t>Via G. Amendola, 17</t>
  </si>
  <si>
    <t>Salerno</t>
  </si>
  <si>
    <t>Pratica HCP 02500058165</t>
  </si>
  <si>
    <t>Totale fattura</t>
  </si>
  <si>
    <t>data</t>
  </si>
  <si>
    <t>Seduta fisioterapia</t>
  </si>
  <si>
    <t>esente</t>
  </si>
  <si>
    <t>4/HCP</t>
  </si>
  <si>
    <t>14/HCP</t>
  </si>
  <si>
    <t>23/HCP</t>
  </si>
  <si>
    <t>341/HCP</t>
  </si>
  <si>
    <t>41/HCP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</si>
</sst>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5" formatCode="_-&quot;L.&quot;\ * #,##0.00_-;\-&quot;L.&quot;\ * #,##0.00_-;_-&quot;L.&quot;\ * &quot;-&quot;??_-;_-@_-"/>
    <numFmt numFmtId="182" formatCode="_-[$€-410]\ * #,##0.00_-;\-[$€-410]\ * #,##0.00_-;_-[$€-410]\ * &quot;-&quot;??_-;_-@_-"/>
  </numFmts>
  <fonts count="11" x14ac:knownFonts="1">
    <font>
      <sz val="10"/>
      <name val="Arial"/>
    </font>
    <font>
      <sz val="10"/>
      <name val="Arial"/>
      <family val="2"/>
    </font>
    <font>
      <sz val="10"/>
      <name val="Tahoma"/>
      <family val="2"/>
    </font>
    <font>
      <sz val="9"/>
      <name val="Tahoma"/>
      <family val="2"/>
    </font>
    <font>
      <b/>
      <sz val="10"/>
      <name val="Tahoma"/>
      <family val="2"/>
    </font>
    <font>
      <b/>
      <sz val="8"/>
      <name val="Tahoma"/>
      <family val="2"/>
    </font>
    <font>
      <b/>
      <sz val="14"/>
      <name val="Tahoma"/>
      <family val="2"/>
    </font>
    <font>
      <sz val="11"/>
      <name val="Tahoma"/>
      <family val="2"/>
    </font>
    <font>
      <b/>
      <sz val="11"/>
      <name val="Tahoma"/>
      <family val="2"/>
    </font>
    <font>
      <b/>
      <sz val="12"/>
      <name val="Tahoma"/>
      <family val="2"/>
    </font>
    <font>
      <sz val="10"/>
      <color theme="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hair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75" fontId="1" fillId="0" borderId="0" applyFont="0" applyFill="0" applyBorder="0" applyAlignment="0" applyProtection="0"/>
  </cellStyleXfs>
  <cellXfs count="75">
    <xf numFmtId="0" fontId="0" fillId="0" borderId="0" xfId="0"/>
    <xf numFmtId="0" fontId="2" fillId="0" borderId="0" xfId="0" applyFont="1" applyBorder="1" applyProtection="1">
      <protection locked="0"/>
    </xf>
    <xf numFmtId="0" fontId="2" fillId="0" borderId="0" xfId="0" applyFont="1" applyProtection="1">
      <protection locked="0"/>
    </xf>
    <xf numFmtId="14" fontId="2" fillId="0" borderId="0" xfId="0" applyNumberFormat="1" applyFont="1" applyBorder="1" applyProtection="1">
      <protection locked="0"/>
    </xf>
    <xf numFmtId="0" fontId="3" fillId="0" borderId="0" xfId="0" applyFont="1" applyBorder="1" applyProtection="1">
      <protection locked="0"/>
    </xf>
    <xf numFmtId="0" fontId="5" fillId="2" borderId="0" xfId="0" applyFont="1" applyFill="1" applyBorder="1" applyAlignment="1" applyProtection="1">
      <alignment horizontal="centerContinuous"/>
      <protection locked="0"/>
    </xf>
    <xf numFmtId="0" fontId="4" fillId="0" borderId="0" xfId="0" applyFont="1" applyProtection="1"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right" vertical="center"/>
      <protection locked="0"/>
    </xf>
    <xf numFmtId="0" fontId="2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righ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39" fontId="2" fillId="0" borderId="1" xfId="0" applyNumberFormat="1" applyFont="1" applyBorder="1" applyAlignment="1" applyProtection="1">
      <alignment vertical="center"/>
    </xf>
    <xf numFmtId="9" fontId="2" fillId="0" borderId="1" xfId="1" applyFont="1" applyBorder="1" applyAlignment="1" applyProtection="1">
      <alignment vertical="center"/>
      <protection locked="0"/>
    </xf>
    <xf numFmtId="9" fontId="2" fillId="0" borderId="1" xfId="1" applyFont="1" applyBorder="1" applyAlignment="1" applyProtection="1">
      <alignment vertical="center"/>
    </xf>
    <xf numFmtId="0" fontId="9" fillId="0" borderId="0" xfId="0" applyFont="1" applyProtection="1">
      <protection locked="0"/>
    </xf>
    <xf numFmtId="0" fontId="7" fillId="0" borderId="0" xfId="0" applyFont="1" applyAlignment="1" applyProtection="1">
      <alignment horizontal="right"/>
      <protection locked="0"/>
    </xf>
    <xf numFmtId="0" fontId="7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left"/>
      <protection locked="0"/>
    </xf>
    <xf numFmtId="14" fontId="2" fillId="0" borderId="0" xfId="0" applyNumberFormat="1" applyFont="1" applyAlignment="1" applyProtection="1">
      <alignment horizontal="left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vertical="center"/>
      <protection locked="0"/>
    </xf>
    <xf numFmtId="0" fontId="2" fillId="0" borderId="0" xfId="0" applyFont="1" applyBorder="1" applyAlignment="1" applyProtection="1">
      <alignment horizontal="right" vertical="center"/>
      <protection locked="0"/>
    </xf>
    <xf numFmtId="0" fontId="2" fillId="0" borderId="3" xfId="0" applyFont="1" applyBorder="1" applyAlignment="1" applyProtection="1">
      <alignment vertical="center"/>
      <protection locked="0"/>
    </xf>
    <xf numFmtId="0" fontId="2" fillId="0" borderId="4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2" fillId="0" borderId="7" xfId="0" applyFont="1" applyBorder="1" applyAlignment="1" applyProtection="1">
      <alignment horizontal="right" vertical="center"/>
      <protection locked="0"/>
    </xf>
    <xf numFmtId="0" fontId="2" fillId="0" borderId="5" xfId="0" applyFont="1" applyBorder="1" applyAlignment="1" applyProtection="1">
      <alignment horizontal="right" vertical="center"/>
      <protection locked="0"/>
    </xf>
    <xf numFmtId="0" fontId="2" fillId="0" borderId="6" xfId="0" applyFont="1" applyBorder="1" applyAlignment="1" applyProtection="1">
      <alignment horizontal="right" vertical="center"/>
      <protection locked="0"/>
    </xf>
    <xf numFmtId="0" fontId="2" fillId="0" borderId="8" xfId="0" applyFont="1" applyBorder="1" applyAlignment="1" applyProtection="1">
      <alignment horizontal="right" vertical="center"/>
      <protection locked="0"/>
    </xf>
    <xf numFmtId="0" fontId="2" fillId="0" borderId="9" xfId="0" applyFont="1" applyBorder="1" applyAlignment="1" applyProtection="1">
      <alignment horizontal="right" vertical="center"/>
      <protection locked="0"/>
    </xf>
    <xf numFmtId="0" fontId="7" fillId="0" borderId="10" xfId="0" applyFont="1" applyBorder="1" applyAlignment="1" applyProtection="1">
      <alignment vertical="center"/>
      <protection locked="0"/>
    </xf>
    <xf numFmtId="0" fontId="7" fillId="0" borderId="11" xfId="0" applyFont="1" applyBorder="1" applyAlignment="1" applyProtection="1">
      <alignment vertical="center"/>
      <protection locked="0"/>
    </xf>
    <xf numFmtId="0" fontId="7" fillId="0" borderId="12" xfId="0" applyFont="1" applyBorder="1" applyAlignment="1" applyProtection="1">
      <alignment horizontal="right" vertical="center"/>
      <protection locked="0"/>
    </xf>
    <xf numFmtId="4" fontId="2" fillId="0" borderId="7" xfId="0" applyNumberFormat="1" applyFont="1" applyBorder="1" applyAlignment="1" applyProtection="1">
      <alignment vertical="center"/>
    </xf>
    <xf numFmtId="4" fontId="2" fillId="0" borderId="8" xfId="0" applyNumberFormat="1" applyFont="1" applyBorder="1" applyAlignment="1" applyProtection="1">
      <alignment vertical="center"/>
    </xf>
    <xf numFmtId="182" fontId="8" fillId="3" borderId="13" xfId="2" applyNumberFormat="1" applyFont="1" applyFill="1" applyBorder="1" applyAlignment="1" applyProtection="1">
      <alignment vertical="center"/>
    </xf>
    <xf numFmtId="0" fontId="2" fillId="0" borderId="14" xfId="0" applyFont="1" applyBorder="1" applyAlignment="1" applyProtection="1">
      <alignment vertical="center"/>
      <protection locked="0"/>
    </xf>
    <xf numFmtId="0" fontId="8" fillId="0" borderId="4" xfId="0" applyFont="1" applyBorder="1" applyAlignment="1" applyProtection="1">
      <alignment vertical="center"/>
      <protection locked="0"/>
    </xf>
    <xf numFmtId="14" fontId="2" fillId="0" borderId="1" xfId="0" applyNumberFormat="1" applyFont="1" applyBorder="1" applyAlignment="1" applyProtection="1">
      <alignment vertic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4" fillId="0" borderId="0" xfId="0" applyFont="1" applyBorder="1" applyProtection="1">
      <protection locked="0"/>
    </xf>
    <xf numFmtId="0" fontId="2" fillId="0" borderId="2" xfId="0" applyFont="1" applyBorder="1" applyAlignment="1" applyProtection="1">
      <alignment horizontal="left" vertical="center"/>
      <protection locked="0"/>
    </xf>
    <xf numFmtId="0" fontId="2" fillId="0" borderId="15" xfId="0" applyFont="1" applyBorder="1" applyAlignment="1" applyProtection="1">
      <alignment horizontal="left" vertical="center"/>
      <protection locked="0"/>
    </xf>
    <xf numFmtId="0" fontId="2" fillId="0" borderId="16" xfId="0" applyFont="1" applyBorder="1" applyAlignment="1" applyProtection="1">
      <alignment horizontal="left" vertical="center"/>
      <protection locked="0"/>
    </xf>
    <xf numFmtId="0" fontId="10" fillId="0" borderId="1" xfId="0" applyFont="1" applyBorder="1" applyAlignment="1" applyProtection="1">
      <alignment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15" xfId="0" applyFont="1" applyBorder="1" applyAlignment="1" applyProtection="1">
      <alignment horizontal="center" vertical="center"/>
      <protection locked="0"/>
    </xf>
    <xf numFmtId="0" fontId="2" fillId="0" borderId="16" xfId="0" applyFont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4" fontId="2" fillId="0" borderId="8" xfId="0" applyNumberFormat="1" applyFont="1" applyBorder="1" applyAlignment="1" applyProtection="1">
      <alignment horizontal="center" vertical="center"/>
    </xf>
    <xf numFmtId="0" fontId="2" fillId="0" borderId="4" xfId="0" applyFont="1" applyBorder="1" applyAlignment="1" applyProtection="1">
      <alignment horizontal="right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15" xfId="0" applyFont="1" applyBorder="1" applyAlignment="1" applyProtection="1">
      <alignment horizontal="center" vertical="center"/>
      <protection locked="0"/>
    </xf>
    <xf numFmtId="0" fontId="2" fillId="0" borderId="16" xfId="0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center" vertical="center"/>
      <protection locked="0"/>
    </xf>
    <xf numFmtId="0" fontId="2" fillId="0" borderId="11" xfId="0" applyFont="1" applyBorder="1" applyAlignment="1" applyProtection="1">
      <alignment horizontal="center" vertical="center"/>
      <protection locked="0"/>
    </xf>
    <xf numFmtId="0" fontId="2" fillId="0" borderId="12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horizontal="right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left" vertical="center"/>
      <protection locked="0"/>
    </xf>
    <xf numFmtId="0" fontId="2" fillId="0" borderId="15" xfId="0" applyFont="1" applyBorder="1" applyAlignment="1" applyProtection="1">
      <alignment horizontal="left" vertical="center"/>
      <protection locked="0"/>
    </xf>
    <xf numFmtId="0" fontId="2" fillId="0" borderId="16" xfId="0" applyFont="1" applyBorder="1" applyAlignment="1" applyProtection="1">
      <alignment horizontal="left" vertical="center"/>
      <protection locked="0"/>
    </xf>
    <xf numFmtId="0" fontId="6" fillId="0" borderId="0" xfId="0" applyFont="1" applyBorder="1" applyAlignment="1" applyProtection="1">
      <alignment horizontal="center"/>
      <protection locked="0"/>
    </xf>
    <xf numFmtId="0" fontId="2" fillId="0" borderId="0" xfId="0" applyFont="1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3" fillId="0" borderId="1" xfId="0" applyFont="1" applyFill="1" applyBorder="1" applyAlignment="1" applyProtection="1">
      <alignment horizontal="center" vertical="center"/>
      <protection locked="0"/>
    </xf>
  </cellXfs>
  <cellStyles count="3">
    <cellStyle name="Normale" xfId="0" builtinId="0"/>
    <cellStyle name="Percentuale" xfId="1" builtinId="5"/>
    <cellStyle name="Valuta" xfId="2" builtinId="4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13" Type="http://purl.oclc.org/ooxml/officeDocument/relationships/worksheet" Target="worksheets/sheet13.xml"/><Relationship Id="rId18" Type="http://purl.oclc.org/ooxml/officeDocument/relationships/theme" Target="theme/theme1.xml"/><Relationship Id="rId3" Type="http://purl.oclc.org/ooxml/officeDocument/relationships/worksheet" Target="worksheets/sheet3.xml"/><Relationship Id="rId21" Type="http://purl.oclc.org/ooxml/officeDocument/relationships/calcChain" Target="calcChain.xml"/><Relationship Id="rId7" Type="http://purl.oclc.org/ooxml/officeDocument/relationships/worksheet" Target="worksheets/sheet7.xml"/><Relationship Id="rId12" Type="http://purl.oclc.org/ooxml/officeDocument/relationships/worksheet" Target="worksheets/sheet12.xml"/><Relationship Id="rId17" Type="http://purl.oclc.org/ooxml/officeDocument/relationships/worksheet" Target="worksheets/sheet17.xml"/><Relationship Id="rId2" Type="http://purl.oclc.org/ooxml/officeDocument/relationships/worksheet" Target="worksheets/sheet2.xml"/><Relationship Id="rId16" Type="http://purl.oclc.org/ooxml/officeDocument/relationships/worksheet" Target="worksheets/sheet16.xml"/><Relationship Id="rId20" Type="http://purl.oclc.org/ooxml/officeDocument/relationships/sharedStrings" Target="sharedStrings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worksheet" Target="worksheets/sheet11.xml"/><Relationship Id="rId5" Type="http://purl.oclc.org/ooxml/officeDocument/relationships/worksheet" Target="worksheets/sheet5.xml"/><Relationship Id="rId15" Type="http://purl.oclc.org/ooxml/officeDocument/relationships/worksheet" Target="worksheets/sheet15.xml"/><Relationship Id="rId10" Type="http://purl.oclc.org/ooxml/officeDocument/relationships/worksheet" Target="worksheets/sheet10.xml"/><Relationship Id="rId19" Type="http://purl.oclc.org/ooxml/officeDocument/relationships/styles" Target="styles.xml"/><Relationship Id="rId4" Type="http://purl.oclc.org/ooxml/officeDocument/relationships/worksheet" Target="worksheets/sheet4.xml"/><Relationship Id="rId9" Type="http://purl.oclc.org/ooxml/officeDocument/relationships/worksheet" Target="worksheets/sheet9.xml"/><Relationship Id="rId14" Type="http://purl.oclc.org/ooxml/officeDocument/relationships/worksheet" Target="worksheets/sheet14.xml"/></Relationships>
</file>

<file path=xl/theme/theme1.xml><?xml version="1.0" encoding="utf-8"?>
<a:theme xmlns:a="http://purl.oclc.org/ooxml/drawingml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44CF6-CDAF-8545-ADDE-38AF76D5984A}">
  <dimension ref="A1:H38"/>
  <sheetViews>
    <sheetView topLeftCell="A4" workbookViewId="0">
      <selection activeCell="M27" sqref="M27"/>
    </sheetView>
  </sheetViews>
  <sheetFormatPr baseColWidth="10" defaultColWidth="9.1640625" defaultRowHeight="13.5" customHeight="1" x14ac:dyDescent="0.15"/>
  <cols>
    <col min="1" max="1" width="10.5" style="2" customWidth="1"/>
    <col min="2" max="2" width="11.5" style="2" customWidth="1"/>
    <col min="3" max="3" width="35.6640625" style="2" customWidth="1"/>
    <col min="4" max="4" width="3.33203125" style="2" hidden="1" customWidth="1"/>
    <col min="5" max="5" width="5.1640625" style="2" hidden="1" customWidth="1"/>
    <col min="6" max="6" width="4" style="2" hidden="1" customWidth="1"/>
    <col min="7" max="7" width="14" style="2" customWidth="1"/>
    <col min="8" max="8" width="7.83203125" style="2" customWidth="1"/>
    <col min="9" max="16384" width="9.1640625" style="2"/>
  </cols>
  <sheetData>
    <row r="1" spans="1:8" s="6" customFormat="1" ht="15" customHeight="1" x14ac:dyDescent="0.2">
      <c r="A1" s="70" t="s">
        <v>9</v>
      </c>
      <c r="B1" s="70"/>
      <c r="C1" s="70"/>
      <c r="D1" s="70"/>
      <c r="E1" s="70"/>
      <c r="F1" s="70"/>
      <c r="G1" s="70"/>
      <c r="H1" s="70"/>
    </row>
    <row r="2" spans="1:8" ht="15" customHeight="1" x14ac:dyDescent="0.15">
      <c r="A2" s="71" t="s">
        <v>6</v>
      </c>
      <c r="B2" s="71"/>
      <c r="C2" s="71"/>
      <c r="D2" s="71"/>
      <c r="E2" s="71"/>
      <c r="F2" s="71"/>
      <c r="G2" s="71"/>
      <c r="H2" s="71"/>
    </row>
    <row r="3" spans="1:8" ht="15" customHeight="1" x14ac:dyDescent="0.15">
      <c r="A3" s="72" t="s">
        <v>7</v>
      </c>
      <c r="B3" s="72"/>
      <c r="C3" s="72"/>
      <c r="D3" s="72"/>
      <c r="E3" s="72"/>
      <c r="F3" s="72"/>
      <c r="G3" s="72"/>
      <c r="H3" s="72"/>
    </row>
    <row r="4" spans="1:8" ht="15" customHeight="1" x14ac:dyDescent="0.15">
      <c r="A4" s="71" t="s">
        <v>8</v>
      </c>
      <c r="B4" s="71"/>
      <c r="C4" s="71"/>
      <c r="D4" s="71"/>
      <c r="E4" s="71"/>
      <c r="F4" s="71"/>
      <c r="G4" s="71"/>
      <c r="H4" s="71"/>
    </row>
    <row r="5" spans="1:8" ht="15" customHeight="1" x14ac:dyDescent="0.15">
      <c r="A5" s="1"/>
      <c r="B5" s="1"/>
      <c r="C5" s="3"/>
      <c r="D5" s="1"/>
      <c r="E5" s="1"/>
      <c r="F5" s="1"/>
      <c r="G5" s="1"/>
      <c r="H5" s="1"/>
    </row>
    <row r="6" spans="1:8" ht="15" customHeight="1" x14ac:dyDescent="0.15"/>
    <row r="7" spans="1:8" ht="15" customHeight="1" x14ac:dyDescent="0.15">
      <c r="A7" s="19" t="s">
        <v>13</v>
      </c>
      <c r="B7" s="43" t="s">
        <v>26</v>
      </c>
      <c r="C7" s="20"/>
      <c r="G7" s="6" t="s">
        <v>17</v>
      </c>
    </row>
    <row r="8" spans="1:8" ht="15" customHeight="1" x14ac:dyDescent="0.15">
      <c r="A8" s="19" t="s">
        <v>14</v>
      </c>
      <c r="B8" s="21" t="d">
        <v>2026-01-31</v>
      </c>
      <c r="C8" s="21"/>
      <c r="E8" s="2" t="s">
        <v>12</v>
      </c>
      <c r="G8" s="2" t="s">
        <v>18</v>
      </c>
    </row>
    <row r="9" spans="1:8" ht="15" customHeight="1" x14ac:dyDescent="0.15">
      <c r="A9" s="18"/>
      <c r="B9" s="18"/>
      <c r="E9" s="17" t="s">
        <v>10</v>
      </c>
      <c r="G9" s="2" t="s">
        <v>19</v>
      </c>
    </row>
    <row r="10" spans="1:8" ht="15" customHeight="1" x14ac:dyDescent="0.15">
      <c r="A10" s="4"/>
      <c r="B10" s="4"/>
      <c r="C10" s="1"/>
      <c r="D10" s="1"/>
      <c r="E10" s="1"/>
      <c r="F10" s="1"/>
      <c r="G10" s="1" t="s">
        <v>20</v>
      </c>
      <c r="H10" s="1"/>
    </row>
    <row r="11" spans="1:8" ht="15" customHeight="1" x14ac:dyDescent="0.15">
      <c r="A11" s="1"/>
      <c r="B11" s="1"/>
      <c r="C11" s="44" t="s">
        <v>21</v>
      </c>
      <c r="D11" s="1"/>
      <c r="E11" s="1"/>
      <c r="F11" s="1"/>
      <c r="G11" s="1"/>
      <c r="H11" s="1"/>
    </row>
    <row r="12" spans="1:8" ht="15" customHeight="1" x14ac:dyDescent="0.15">
      <c r="A12" s="1"/>
      <c r="B12" s="1"/>
      <c r="C12" s="1"/>
      <c r="D12" s="1"/>
      <c r="E12" s="1"/>
      <c r="F12" s="1"/>
      <c r="G12" s="1"/>
      <c r="H12" s="1"/>
    </row>
    <row r="13" spans="1:8" ht="15" customHeight="1" x14ac:dyDescent="0.15">
      <c r="A13" s="22"/>
      <c r="B13" s="22" t="s">
        <v>23</v>
      </c>
      <c r="C13" s="73" t="s">
        <v>0</v>
      </c>
      <c r="D13" s="73"/>
      <c r="E13" s="73"/>
      <c r="F13" s="73"/>
      <c r="G13" s="22" t="s">
        <v>1</v>
      </c>
      <c r="H13" s="22" t="s">
        <v>4</v>
      </c>
    </row>
    <row r="14" spans="1:8" ht="15" customHeight="1" x14ac:dyDescent="0.15">
      <c r="A14" s="48">
        <v>1.5</v>
      </c>
      <c r="B14" s="42" t="d">
        <v>2026-01-09</v>
      </c>
      <c r="C14" s="74" t="s">
        <v>24</v>
      </c>
      <c r="D14" s="74"/>
      <c r="E14" s="74"/>
      <c r="F14" s="74"/>
      <c r="G14" s="14">
        <f t="shared" ref="G14:G20" si="0">SUM(A14*50)</f>
        <v>75</v>
      </c>
      <c r="H14" s="15" t="s">
        <v>25</v>
      </c>
    </row>
    <row r="15" spans="1:8" ht="15" customHeight="1" x14ac:dyDescent="0.15">
      <c r="A15" s="48">
        <v>1.5</v>
      </c>
      <c r="B15" s="42" t="d">
        <v>2026-01-13</v>
      </c>
      <c r="C15" s="66" t="s">
        <v>24</v>
      </c>
      <c r="D15" s="66"/>
      <c r="E15" s="66"/>
      <c r="F15" s="66"/>
      <c r="G15" s="14">
        <f t="shared" si="0"/>
        <v>75</v>
      </c>
      <c r="H15" s="16" t="str">
        <f t="shared" ref="H15:H20" si="1">IF(G15,H$14,0)</f>
        <v>esente</v>
      </c>
    </row>
    <row r="16" spans="1:8" ht="15" customHeight="1" x14ac:dyDescent="0.15">
      <c r="A16" s="48">
        <v>1.5</v>
      </c>
      <c r="B16" s="42" t="d">
        <v>2026-01-16</v>
      </c>
      <c r="C16" s="66" t="s">
        <v>24</v>
      </c>
      <c r="D16" s="66"/>
      <c r="E16" s="66"/>
      <c r="F16" s="66"/>
      <c r="G16" s="14">
        <f t="shared" si="0"/>
        <v>75</v>
      </c>
      <c r="H16" s="16" t="str">
        <f t="shared" si="1"/>
        <v>esente</v>
      </c>
    </row>
    <row r="17" spans="1:8" ht="15" customHeight="1" x14ac:dyDescent="0.15">
      <c r="A17" s="48">
        <v>1.5</v>
      </c>
      <c r="B17" s="42" t="d">
        <v>2026-01-20</v>
      </c>
      <c r="C17" s="66" t="s">
        <v>24</v>
      </c>
      <c r="D17" s="66"/>
      <c r="E17" s="66"/>
      <c r="F17" s="66"/>
      <c r="G17" s="14">
        <f t="shared" si="0"/>
        <v>75</v>
      </c>
      <c r="H17" s="16" t="str">
        <f t="shared" si="1"/>
        <v>esente</v>
      </c>
    </row>
    <row r="18" spans="1:8" ht="15" customHeight="1" x14ac:dyDescent="0.15">
      <c r="A18" s="48">
        <v>1.5</v>
      </c>
      <c r="B18" s="42" t="d">
        <v>2026-01-23</v>
      </c>
      <c r="C18" s="49" t="s">
        <v>24</v>
      </c>
      <c r="D18" s="50"/>
      <c r="E18" s="50"/>
      <c r="F18" s="51"/>
      <c r="G18" s="14">
        <f t="shared" si="0"/>
        <v>75</v>
      </c>
      <c r="H18" s="16" t="str">
        <f t="shared" si="1"/>
        <v>esente</v>
      </c>
    </row>
    <row r="19" spans="1:8" ht="15" customHeight="1" x14ac:dyDescent="0.15">
      <c r="A19" s="48">
        <v>1.5</v>
      </c>
      <c r="B19" s="42" t="d">
        <v>2026-01-27</v>
      </c>
      <c r="C19" s="49" t="s">
        <v>24</v>
      </c>
      <c r="D19" s="50"/>
      <c r="E19" s="50"/>
      <c r="F19" s="51"/>
      <c r="G19" s="14">
        <f t="shared" si="0"/>
        <v>75</v>
      </c>
      <c r="H19" s="16" t="str">
        <f t="shared" si="1"/>
        <v>esente</v>
      </c>
    </row>
    <row r="20" spans="1:8" ht="15" customHeight="1" x14ac:dyDescent="0.15">
      <c r="A20" s="48">
        <v>1.5</v>
      </c>
      <c r="B20" s="42" t="d">
        <v>2026-01-30</v>
      </c>
      <c r="C20" s="49" t="s">
        <v>24</v>
      </c>
      <c r="D20" s="50"/>
      <c r="E20" s="50"/>
      <c r="F20" s="51"/>
      <c r="G20" s="14">
        <f t="shared" si="0"/>
        <v>75</v>
      </c>
      <c r="H20" s="16" t="str">
        <f t="shared" si="1"/>
        <v>esente</v>
      </c>
    </row>
    <row r="21" spans="1:8" ht="15" customHeight="1" x14ac:dyDescent="0.15">
      <c r="A21" s="48">
        <v>1.5</v>
      </c>
      <c r="B21" s="42"/>
      <c r="C21" s="49"/>
      <c r="D21" s="50"/>
      <c r="E21" s="50"/>
      <c r="F21" s="51"/>
      <c r="G21" s="14"/>
      <c r="H21" s="16"/>
    </row>
    <row r="22" spans="1:8" ht="15" customHeight="1" x14ac:dyDescent="0.15">
      <c r="A22" s="48">
        <v>1.5</v>
      </c>
      <c r="B22" s="42"/>
      <c r="C22" s="49"/>
      <c r="D22" s="50"/>
      <c r="E22" s="50"/>
      <c r="F22" s="51"/>
      <c r="G22" s="14"/>
      <c r="H22" s="16"/>
    </row>
    <row r="23" spans="1:8" ht="15" customHeight="1" x14ac:dyDescent="0.15">
      <c r="A23" s="48">
        <v>1.5</v>
      </c>
      <c r="B23" s="42"/>
      <c r="C23" s="49"/>
      <c r="D23" s="50"/>
      <c r="E23" s="50"/>
      <c r="F23" s="51"/>
      <c r="G23" s="14"/>
      <c r="H23" s="16"/>
    </row>
    <row r="24" spans="1:8" ht="15" customHeight="1" x14ac:dyDescent="0.15">
      <c r="A24" s="13"/>
      <c r="B24" s="23"/>
      <c r="C24" s="45"/>
      <c r="D24" s="46"/>
      <c r="E24" s="46"/>
      <c r="F24" s="47"/>
      <c r="G24" s="14"/>
      <c r="H24" s="16"/>
    </row>
    <row r="25" spans="1:8" ht="15" customHeight="1" x14ac:dyDescent="0.15">
      <c r="A25" s="13"/>
      <c r="B25" s="23"/>
      <c r="C25" s="67"/>
      <c r="D25" s="68"/>
      <c r="E25" s="68"/>
      <c r="F25" s="69"/>
      <c r="G25" s="14"/>
      <c r="H25" s="16"/>
    </row>
    <row r="26" spans="1:8" ht="15" customHeight="1" x14ac:dyDescent="0.15">
      <c r="A26" s="13"/>
      <c r="B26" s="13"/>
      <c r="C26" s="64"/>
      <c r="D26" s="64"/>
      <c r="E26" s="64"/>
      <c r="F26" s="64"/>
      <c r="G26" s="14"/>
      <c r="H26" s="16"/>
    </row>
    <row r="27" spans="1:8" ht="15" customHeight="1" x14ac:dyDescent="0.15">
      <c r="A27" s="13"/>
      <c r="B27" s="13"/>
      <c r="C27" s="64"/>
      <c r="D27" s="64"/>
      <c r="E27" s="64"/>
      <c r="F27" s="64"/>
      <c r="G27" s="14"/>
      <c r="H27" s="16"/>
    </row>
    <row r="28" spans="1:8" ht="15" customHeight="1" x14ac:dyDescent="0.15">
      <c r="A28" s="13"/>
      <c r="B28" s="13"/>
      <c r="C28" s="64"/>
      <c r="D28" s="64"/>
      <c r="E28" s="64"/>
      <c r="F28" s="64"/>
      <c r="G28" s="14"/>
      <c r="H28" s="16"/>
    </row>
    <row r="29" spans="1:8" ht="15" customHeight="1" x14ac:dyDescent="0.15">
      <c r="A29" s="13"/>
      <c r="B29" s="13"/>
      <c r="C29" s="65"/>
      <c r="D29" s="65"/>
      <c r="E29" s="65"/>
      <c r="F29" s="65"/>
      <c r="G29" s="14"/>
      <c r="H29" s="16"/>
    </row>
    <row r="30" spans="1:8" ht="15" customHeight="1" x14ac:dyDescent="0.15">
      <c r="A30" s="13"/>
      <c r="B30" s="13"/>
      <c r="C30" s="66"/>
      <c r="D30" s="66"/>
      <c r="E30" s="66"/>
      <c r="F30" s="66"/>
      <c r="G30" s="14"/>
      <c r="H30" s="16"/>
    </row>
    <row r="31" spans="1:8" ht="15" customHeight="1" x14ac:dyDescent="0.15">
      <c r="A31" s="58" t="s">
        <v>16</v>
      </c>
      <c r="B31" s="59"/>
      <c r="C31" s="60"/>
      <c r="D31" s="27"/>
      <c r="E31" s="27"/>
      <c r="F31" s="28"/>
      <c r="G31" s="14"/>
      <c r="H31" s="16"/>
    </row>
    <row r="32" spans="1:8" ht="15" customHeight="1" x14ac:dyDescent="0.15">
      <c r="A32" s="61" t="s">
        <v>15</v>
      </c>
      <c r="B32" s="62"/>
      <c r="C32" s="62"/>
      <c r="D32" s="62"/>
      <c r="E32" s="62"/>
      <c r="F32" s="63"/>
      <c r="G32" s="14"/>
      <c r="H32" s="16"/>
    </row>
    <row r="33" spans="1:8" ht="15" customHeight="1" x14ac:dyDescent="0.15">
      <c r="A33" s="26"/>
      <c r="B33" s="26"/>
      <c r="C33" s="57" t="s">
        <v>11</v>
      </c>
      <c r="D33" s="57"/>
      <c r="E33" s="57"/>
      <c r="F33" s="57"/>
      <c r="G33" s="14">
        <v>2</v>
      </c>
      <c r="H33" s="16"/>
    </row>
    <row r="34" spans="1:8" ht="15" customHeight="1" x14ac:dyDescent="0.15">
      <c r="A34" s="29"/>
      <c r="B34" s="30"/>
      <c r="C34" s="31" t="s">
        <v>3</v>
      </c>
      <c r="D34" s="7"/>
      <c r="E34" s="8" t="s">
        <v>3</v>
      </c>
      <c r="F34" s="9"/>
      <c r="G34" s="37">
        <f>SUM(G14:G33)</f>
        <v>527</v>
      </c>
      <c r="H34" s="25"/>
    </row>
    <row r="35" spans="1:8" ht="15" customHeight="1" x14ac:dyDescent="0.15">
      <c r="A35" s="32"/>
      <c r="B35" s="24"/>
      <c r="C35" s="33" t="s">
        <v>4</v>
      </c>
      <c r="D35" s="7"/>
      <c r="E35" s="8" t="s">
        <v>5</v>
      </c>
      <c r="F35" s="9"/>
      <c r="G35" s="38" t="str">
        <f>H14</f>
        <v>esente</v>
      </c>
      <c r="H35" s="40"/>
    </row>
    <row r="36" spans="1:8" ht="15" customHeight="1" x14ac:dyDescent="0.15">
      <c r="A36" s="34"/>
      <c r="B36" s="35"/>
      <c r="C36" s="36" t="s">
        <v>22</v>
      </c>
      <c r="D36" s="10"/>
      <c r="E36" s="11" t="s">
        <v>2</v>
      </c>
      <c r="F36" s="12"/>
      <c r="G36" s="39">
        <f>SUM(G34:G35)</f>
        <v>527</v>
      </c>
      <c r="H36" s="41"/>
    </row>
    <row r="37" spans="1:8" ht="13.5" customHeight="1" x14ac:dyDescent="0.15">
      <c r="A37" s="4"/>
      <c r="B37" s="4"/>
      <c r="C37" s="1"/>
      <c r="D37" s="5"/>
      <c r="E37" s="1"/>
      <c r="F37" s="1"/>
      <c r="G37" s="1"/>
      <c r="H37" s="1"/>
    </row>
    <row r="38" spans="1:8" ht="13.5" customHeight="1" x14ac:dyDescent="0.15">
      <c r="A38" s="4"/>
      <c r="B38" s="4"/>
    </row>
  </sheetData>
  <mergeCells count="18">
    <mergeCell ref="A1:H1"/>
    <mergeCell ref="A2:H2"/>
    <mergeCell ref="A3:H3"/>
    <mergeCell ref="A4:H4"/>
    <mergeCell ref="C13:F13"/>
    <mergeCell ref="C14:F14"/>
    <mergeCell ref="C15:F15"/>
    <mergeCell ref="C16:F16"/>
    <mergeCell ref="C17:F17"/>
    <mergeCell ref="C25:F25"/>
    <mergeCell ref="C26:F26"/>
    <mergeCell ref="C27:F27"/>
    <mergeCell ref="C33:F33"/>
    <mergeCell ref="A31:C31"/>
    <mergeCell ref="A32:F32"/>
    <mergeCell ref="C28:F28"/>
    <mergeCell ref="C29:F29"/>
    <mergeCell ref="C30:F30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735E2-B79C-C44E-A34F-D953C0EABDA0}">
  <dimension ref="A1:H38"/>
  <sheetViews>
    <sheetView topLeftCell="A4" workbookViewId="0">
      <selection activeCell="M22" sqref="M22"/>
    </sheetView>
  </sheetViews>
  <sheetFormatPr baseColWidth="10" defaultColWidth="9.1640625" defaultRowHeight="13.5" customHeight="1" x14ac:dyDescent="0.15"/>
  <cols>
    <col min="1" max="1" width="10.5" style="2" customWidth="1"/>
    <col min="2" max="2" width="11.5" style="2" customWidth="1"/>
    <col min="3" max="3" width="35.6640625" style="2" customWidth="1"/>
    <col min="4" max="4" width="3.33203125" style="2" hidden="1" customWidth="1"/>
    <col min="5" max="5" width="5.1640625" style="2" hidden="1" customWidth="1"/>
    <col min="6" max="6" width="4" style="2" hidden="1" customWidth="1"/>
    <col min="7" max="7" width="14" style="2" customWidth="1"/>
    <col min="8" max="8" width="7.83203125" style="2" customWidth="1"/>
    <col min="9" max="16384" width="9.1640625" style="2"/>
  </cols>
  <sheetData>
    <row r="1" spans="1:8" s="6" customFormat="1" ht="15" customHeight="1" x14ac:dyDescent="0.2">
      <c r="A1" s="70" t="s">
        <v>9</v>
      </c>
      <c r="B1" s="70"/>
      <c r="C1" s="70"/>
      <c r="D1" s="70"/>
      <c r="E1" s="70"/>
      <c r="F1" s="70"/>
      <c r="G1" s="70"/>
      <c r="H1" s="70"/>
    </row>
    <row r="2" spans="1:8" ht="15" customHeight="1" x14ac:dyDescent="0.15">
      <c r="A2" s="71" t="s">
        <v>6</v>
      </c>
      <c r="B2" s="71"/>
      <c r="C2" s="71"/>
      <c r="D2" s="71"/>
      <c r="E2" s="71"/>
      <c r="F2" s="71"/>
      <c r="G2" s="71"/>
      <c r="H2" s="71"/>
    </row>
    <row r="3" spans="1:8" ht="15" customHeight="1" x14ac:dyDescent="0.15">
      <c r="A3" s="72" t="s">
        <v>7</v>
      </c>
      <c r="B3" s="72"/>
      <c r="C3" s="72"/>
      <c r="D3" s="72"/>
      <c r="E3" s="72"/>
      <c r="F3" s="72"/>
      <c r="G3" s="72"/>
      <c r="H3" s="72"/>
    </row>
    <row r="4" spans="1:8" ht="15" customHeight="1" x14ac:dyDescent="0.15">
      <c r="A4" s="71" t="s">
        <v>8</v>
      </c>
      <c r="B4" s="71"/>
      <c r="C4" s="71"/>
      <c r="D4" s="71"/>
      <c r="E4" s="71"/>
      <c r="F4" s="71"/>
      <c r="G4" s="71"/>
      <c r="H4" s="71"/>
    </row>
    <row r="5" spans="1:8" ht="15" customHeight="1" x14ac:dyDescent="0.15">
      <c r="A5" s="1"/>
      <c r="B5" s="1"/>
      <c r="C5" s="3"/>
      <c r="D5" s="1"/>
      <c r="E5" s="1"/>
      <c r="F5" s="1"/>
      <c r="G5" s="1"/>
      <c r="H5" s="1"/>
    </row>
    <row r="6" spans="1:8" ht="15" customHeight="1" x14ac:dyDescent="0.15"/>
    <row r="7" spans="1:8" ht="15" customHeight="1" x14ac:dyDescent="0.15">
      <c r="A7" s="19" t="s">
        <v>13</v>
      </c>
      <c r="B7" s="43" t="s">
        <v>27</v>
      </c>
      <c r="C7" s="20"/>
      <c r="G7" s="6" t="s">
        <v>17</v>
      </c>
    </row>
    <row r="8" spans="1:8" ht="15" customHeight="1" x14ac:dyDescent="0.15">
      <c r="A8" s="19" t="s">
        <v>14</v>
      </c>
      <c r="B8" s="21" t="d">
        <v>2026-02-28</v>
      </c>
      <c r="C8" s="21"/>
      <c r="E8" s="2" t="s">
        <v>12</v>
      </c>
      <c r="G8" s="2" t="s">
        <v>18</v>
      </c>
    </row>
    <row r="9" spans="1:8" ht="15" customHeight="1" x14ac:dyDescent="0.15">
      <c r="A9" s="18"/>
      <c r="B9" s="18"/>
      <c r="E9" s="17" t="s">
        <v>10</v>
      </c>
      <c r="G9" s="2" t="s">
        <v>19</v>
      </c>
    </row>
    <row r="10" spans="1:8" ht="15" customHeight="1" x14ac:dyDescent="0.15">
      <c r="A10" s="4"/>
      <c r="B10" s="4"/>
      <c r="C10" s="1"/>
      <c r="D10" s="1"/>
      <c r="E10" s="1"/>
      <c r="F10" s="1"/>
      <c r="G10" s="1" t="s">
        <v>20</v>
      </c>
      <c r="H10" s="1"/>
    </row>
    <row r="11" spans="1:8" ht="15" customHeight="1" x14ac:dyDescent="0.15">
      <c r="A11" s="1"/>
      <c r="B11" s="1"/>
      <c r="C11" s="44" t="s">
        <v>21</v>
      </c>
      <c r="D11" s="1"/>
      <c r="E11" s="1"/>
      <c r="F11" s="1"/>
      <c r="G11" s="1"/>
      <c r="H11" s="1"/>
    </row>
    <row r="12" spans="1:8" ht="15" customHeight="1" x14ac:dyDescent="0.15">
      <c r="A12" s="1"/>
      <c r="B12" s="1"/>
      <c r="C12" s="1"/>
      <c r="D12" s="1"/>
      <c r="E12" s="1"/>
      <c r="F12" s="1"/>
      <c r="G12" s="1"/>
      <c r="H12" s="1"/>
    </row>
    <row r="13" spans="1:8" ht="15" customHeight="1" x14ac:dyDescent="0.15">
      <c r="A13" s="52"/>
      <c r="B13" s="52" t="s">
        <v>23</v>
      </c>
      <c r="C13" s="73" t="s">
        <v>0</v>
      </c>
      <c r="D13" s="73"/>
      <c r="E13" s="73"/>
      <c r="F13" s="73"/>
      <c r="G13" s="52" t="s">
        <v>1</v>
      </c>
      <c r="H13" s="52" t="s">
        <v>4</v>
      </c>
    </row>
    <row r="14" spans="1:8" ht="15" customHeight="1" x14ac:dyDescent="0.15">
      <c r="A14" s="48">
        <v>1.5</v>
      </c>
      <c r="B14" s="42" t="d">
        <v>2026-02-03</v>
      </c>
      <c r="C14" s="74" t="s">
        <v>24</v>
      </c>
      <c r="D14" s="74"/>
      <c r="E14" s="74"/>
      <c r="F14" s="74"/>
      <c r="G14" s="14">
        <f t="shared" ref="G14:G20" si="0">SUM(A14*50)</f>
        <v>75</v>
      </c>
      <c r="H14" s="15" t="s">
        <v>25</v>
      </c>
    </row>
    <row r="15" spans="1:8" ht="15" customHeight="1" x14ac:dyDescent="0.15">
      <c r="A15" s="48">
        <v>1.5</v>
      </c>
      <c r="B15" s="42" t="d">
        <v>2026-02-06</v>
      </c>
      <c r="C15" s="66" t="s">
        <v>24</v>
      </c>
      <c r="D15" s="66"/>
      <c r="E15" s="66"/>
      <c r="F15" s="66"/>
      <c r="G15" s="14">
        <f t="shared" si="0"/>
        <v>75</v>
      </c>
      <c r="H15" s="16" t="str">
        <f t="shared" ref="H15:H20" si="1">IF(G15,H$14,0)</f>
        <v>esente</v>
      </c>
    </row>
    <row r="16" spans="1:8" ht="15" customHeight="1" x14ac:dyDescent="0.15">
      <c r="A16" s="48">
        <v>1.5</v>
      </c>
      <c r="B16" s="42" t="d">
        <v>2026-02-10</v>
      </c>
      <c r="C16" s="66" t="s">
        <v>24</v>
      </c>
      <c r="D16" s="66"/>
      <c r="E16" s="66"/>
      <c r="F16" s="66"/>
      <c r="G16" s="14">
        <f t="shared" si="0"/>
        <v>75</v>
      </c>
      <c r="H16" s="16" t="str">
        <f t="shared" si="1"/>
        <v>esente</v>
      </c>
    </row>
    <row r="17" spans="1:8" ht="15" customHeight="1" x14ac:dyDescent="0.15">
      <c r="A17" s="48">
        <v>1.5</v>
      </c>
      <c r="B17" s="42" t="d">
        <v>2026-02-13</v>
      </c>
      <c r="C17" s="66" t="s">
        <v>24</v>
      </c>
      <c r="D17" s="66"/>
      <c r="E17" s="66"/>
      <c r="F17" s="66"/>
      <c r="G17" s="14">
        <f t="shared" si="0"/>
        <v>75</v>
      </c>
      <c r="H17" s="16" t="str">
        <f t="shared" si="1"/>
        <v>esente</v>
      </c>
    </row>
    <row r="18" spans="1:8" ht="15" customHeight="1" x14ac:dyDescent="0.15">
      <c r="A18" s="48">
        <v>1.5</v>
      </c>
      <c r="B18" s="42" t="d">
        <v>2026-02-20</v>
      </c>
      <c r="C18" s="49" t="s">
        <v>24</v>
      </c>
      <c r="D18" s="50"/>
      <c r="E18" s="50"/>
      <c r="F18" s="51"/>
      <c r="G18" s="14">
        <f t="shared" si="0"/>
        <v>75</v>
      </c>
      <c r="H18" s="16" t="str">
        <f t="shared" si="1"/>
        <v>esente</v>
      </c>
    </row>
    <row r="19" spans="1:8" ht="15" customHeight="1" x14ac:dyDescent="0.15">
      <c r="A19" s="48">
        <v>1.5</v>
      </c>
      <c r="B19" s="42" t="d">
        <v>2026-02-24</v>
      </c>
      <c r="C19" s="49" t="s">
        <v>24</v>
      </c>
      <c r="D19" s="50"/>
      <c r="E19" s="50"/>
      <c r="F19" s="51"/>
      <c r="G19" s="14">
        <f t="shared" si="0"/>
        <v>75</v>
      </c>
      <c r="H19" s="16" t="str">
        <f t="shared" si="1"/>
        <v>esente</v>
      </c>
    </row>
    <row r="20" spans="1:8" ht="15" customHeight="1" x14ac:dyDescent="0.15">
      <c r="A20" s="48">
        <v>1.5</v>
      </c>
      <c r="B20" s="42" t="d">
        <v>2026-02-27</v>
      </c>
      <c r="C20" s="49" t="s">
        <v>24</v>
      </c>
      <c r="D20" s="50"/>
      <c r="E20" s="50"/>
      <c r="F20" s="51"/>
      <c r="G20" s="14">
        <f t="shared" si="0"/>
        <v>75</v>
      </c>
      <c r="H20" s="16" t="str">
        <f t="shared" si="1"/>
        <v>esente</v>
      </c>
    </row>
    <row r="21" spans="1:8" ht="15" customHeight="1" x14ac:dyDescent="0.15">
      <c r="A21" s="48">
        <v>1.5</v>
      </c>
      <c r="B21" s="42"/>
      <c r="C21" s="49"/>
      <c r="D21" s="50"/>
      <c r="E21" s="50"/>
      <c r="F21" s="51"/>
      <c r="G21" s="14"/>
      <c r="H21" s="16"/>
    </row>
    <row r="22" spans="1:8" ht="15" customHeight="1" x14ac:dyDescent="0.15">
      <c r="A22" s="48">
        <v>1.5</v>
      </c>
      <c r="B22" s="42"/>
      <c r="C22" s="49"/>
      <c r="D22" s="50"/>
      <c r="E22" s="50"/>
      <c r="F22" s="51"/>
      <c r="G22" s="14"/>
      <c r="H22" s="16"/>
    </row>
    <row r="23" spans="1:8" ht="15" customHeight="1" x14ac:dyDescent="0.15">
      <c r="A23" s="48">
        <v>1.5</v>
      </c>
      <c r="B23" s="42"/>
      <c r="C23" s="49"/>
      <c r="D23" s="50"/>
      <c r="E23" s="50"/>
      <c r="F23" s="51"/>
      <c r="G23" s="14"/>
      <c r="H23" s="16"/>
    </row>
    <row r="24" spans="1:8" ht="15" customHeight="1" x14ac:dyDescent="0.15">
      <c r="A24" s="13"/>
      <c r="B24" s="23"/>
      <c r="C24" s="45"/>
      <c r="D24" s="46"/>
      <c r="E24" s="46"/>
      <c r="F24" s="47"/>
      <c r="G24" s="14"/>
      <c r="H24" s="16"/>
    </row>
    <row r="25" spans="1:8" ht="15" customHeight="1" x14ac:dyDescent="0.15">
      <c r="A25" s="13"/>
      <c r="B25" s="23"/>
      <c r="C25" s="67"/>
      <c r="D25" s="68"/>
      <c r="E25" s="68"/>
      <c r="F25" s="69"/>
      <c r="G25" s="14"/>
      <c r="H25" s="16"/>
    </row>
    <row r="26" spans="1:8" ht="15" customHeight="1" x14ac:dyDescent="0.15">
      <c r="A26" s="13"/>
      <c r="B26" s="13"/>
      <c r="C26" s="64"/>
      <c r="D26" s="64"/>
      <c r="E26" s="64"/>
      <c r="F26" s="64"/>
      <c r="G26" s="14"/>
      <c r="H26" s="16"/>
    </row>
    <row r="27" spans="1:8" ht="15" customHeight="1" x14ac:dyDescent="0.15">
      <c r="A27" s="13"/>
      <c r="B27" s="13"/>
      <c r="C27" s="64"/>
      <c r="D27" s="64"/>
      <c r="E27" s="64"/>
      <c r="F27" s="64"/>
      <c r="G27" s="14"/>
      <c r="H27" s="16"/>
    </row>
    <row r="28" spans="1:8" ht="15" customHeight="1" x14ac:dyDescent="0.15">
      <c r="A28" s="13"/>
      <c r="B28" s="13"/>
      <c r="C28" s="64"/>
      <c r="D28" s="64"/>
      <c r="E28" s="64"/>
      <c r="F28" s="64"/>
      <c r="G28" s="14"/>
      <c r="H28" s="16"/>
    </row>
    <row r="29" spans="1:8" ht="15" customHeight="1" x14ac:dyDescent="0.15">
      <c r="A29" s="13"/>
      <c r="B29" s="13"/>
      <c r="C29" s="65"/>
      <c r="D29" s="65"/>
      <c r="E29" s="65"/>
      <c r="F29" s="65"/>
      <c r="G29" s="14"/>
      <c r="H29" s="16"/>
    </row>
    <row r="30" spans="1:8" ht="15" customHeight="1" x14ac:dyDescent="0.15">
      <c r="A30" s="13"/>
      <c r="B30" s="13"/>
      <c r="C30" s="66"/>
      <c r="D30" s="66"/>
      <c r="E30" s="66"/>
      <c r="F30" s="66"/>
      <c r="G30" s="14"/>
      <c r="H30" s="16"/>
    </row>
    <row r="31" spans="1:8" ht="15" customHeight="1" x14ac:dyDescent="0.15">
      <c r="A31" s="58" t="s">
        <v>16</v>
      </c>
      <c r="B31" s="59"/>
      <c r="C31" s="60"/>
      <c r="D31" s="27"/>
      <c r="E31" s="27"/>
      <c r="F31" s="28"/>
      <c r="G31" s="14"/>
      <c r="H31" s="16"/>
    </row>
    <row r="32" spans="1:8" ht="15" customHeight="1" x14ac:dyDescent="0.15">
      <c r="A32" s="61" t="s">
        <v>15</v>
      </c>
      <c r="B32" s="62"/>
      <c r="C32" s="62"/>
      <c r="D32" s="62"/>
      <c r="E32" s="62"/>
      <c r="F32" s="63"/>
      <c r="G32" s="14"/>
      <c r="H32" s="16"/>
    </row>
    <row r="33" spans="1:8" ht="15" customHeight="1" x14ac:dyDescent="0.15">
      <c r="A33" s="26"/>
      <c r="B33" s="26"/>
      <c r="C33" s="57" t="s">
        <v>11</v>
      </c>
      <c r="D33" s="57"/>
      <c r="E33" s="57"/>
      <c r="F33" s="57"/>
      <c r="G33" s="14">
        <v>2</v>
      </c>
      <c r="H33" s="16"/>
    </row>
    <row r="34" spans="1:8" ht="15" customHeight="1" x14ac:dyDescent="0.15">
      <c r="A34" s="29"/>
      <c r="B34" s="30"/>
      <c r="C34" s="31" t="s">
        <v>3</v>
      </c>
      <c r="D34" s="7"/>
      <c r="E34" s="8" t="s">
        <v>3</v>
      </c>
      <c r="F34" s="9"/>
      <c r="G34" s="37">
        <f>SUM(G14:G33)</f>
        <v>527</v>
      </c>
      <c r="H34" s="25"/>
    </row>
    <row r="35" spans="1:8" ht="15" customHeight="1" x14ac:dyDescent="0.15">
      <c r="A35" s="32"/>
      <c r="B35" s="24"/>
      <c r="C35" s="33" t="s">
        <v>4</v>
      </c>
      <c r="D35" s="7"/>
      <c r="E35" s="8" t="s">
        <v>5</v>
      </c>
      <c r="F35" s="9"/>
      <c r="G35" s="38" t="str">
        <f>H14</f>
        <v>esente</v>
      </c>
      <c r="H35" s="40"/>
    </row>
    <row r="36" spans="1:8" ht="15" customHeight="1" x14ac:dyDescent="0.15">
      <c r="A36" s="34"/>
      <c r="B36" s="35"/>
      <c r="C36" s="36" t="s">
        <v>22</v>
      </c>
      <c r="D36" s="10"/>
      <c r="E36" s="11" t="s">
        <v>2</v>
      </c>
      <c r="F36" s="12"/>
      <c r="G36" s="39">
        <f>SUM(G34:G35)</f>
        <v>527</v>
      </c>
      <c r="H36" s="41"/>
    </row>
    <row r="37" spans="1:8" ht="13.5" customHeight="1" x14ac:dyDescent="0.15">
      <c r="A37" s="4"/>
      <c r="B37" s="4"/>
      <c r="C37" s="1"/>
      <c r="D37" s="5"/>
      <c r="E37" s="1"/>
      <c r="F37" s="1"/>
      <c r="G37" s="1"/>
      <c r="H37" s="1"/>
    </row>
    <row r="38" spans="1:8" ht="13.5" customHeight="1" x14ac:dyDescent="0.15">
      <c r="A38" s="4"/>
      <c r="B38" s="4"/>
    </row>
  </sheetData>
  <mergeCells count="18">
    <mergeCell ref="A1:H1"/>
    <mergeCell ref="A2:H2"/>
    <mergeCell ref="A3:H3"/>
    <mergeCell ref="A4:H4"/>
    <mergeCell ref="C13:F13"/>
    <mergeCell ref="C14:F14"/>
    <mergeCell ref="C15:F15"/>
    <mergeCell ref="C16:F16"/>
    <mergeCell ref="C17:F17"/>
    <mergeCell ref="C25:F25"/>
    <mergeCell ref="C26:F26"/>
    <mergeCell ref="C27:F27"/>
    <mergeCell ref="C28:F28"/>
    <mergeCell ref="C29:F29"/>
    <mergeCell ref="C30:F30"/>
    <mergeCell ref="A31:C31"/>
    <mergeCell ref="A32:F32"/>
    <mergeCell ref="C33:F33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AC841-E8B8-244F-A8E2-A3F7429F532F}">
  <dimension ref="A1:H38"/>
  <sheetViews>
    <sheetView topLeftCell="A10" workbookViewId="0">
      <selection activeCell="Q24" sqref="Q24"/>
    </sheetView>
  </sheetViews>
  <sheetFormatPr baseColWidth="10" defaultColWidth="9.1640625" defaultRowHeight="13.5" customHeight="1" x14ac:dyDescent="0.15"/>
  <cols>
    <col min="1" max="1" width="10.5" style="2" customWidth="1"/>
    <col min="2" max="2" width="11.5" style="2" customWidth="1"/>
    <col min="3" max="3" width="35.6640625" style="2" customWidth="1"/>
    <col min="4" max="4" width="3.33203125" style="2" hidden="1" customWidth="1"/>
    <col min="5" max="5" width="5.1640625" style="2" hidden="1" customWidth="1"/>
    <col min="6" max="6" width="4" style="2" hidden="1" customWidth="1"/>
    <col min="7" max="7" width="14" style="2" customWidth="1"/>
    <col min="8" max="8" width="7.83203125" style="2" customWidth="1"/>
    <col min="9" max="16384" width="9.1640625" style="2"/>
  </cols>
  <sheetData>
    <row r="1" spans="1:8" s="6" customFormat="1" ht="15" customHeight="1" x14ac:dyDescent="0.2">
      <c r="A1" s="70" t="s">
        <v>9</v>
      </c>
      <c r="B1" s="70"/>
      <c r="C1" s="70"/>
      <c r="D1" s="70"/>
      <c r="E1" s="70"/>
      <c r="F1" s="70"/>
      <c r="G1" s="70"/>
      <c r="H1" s="70"/>
    </row>
    <row r="2" spans="1:8" ht="15" customHeight="1" x14ac:dyDescent="0.15">
      <c r="A2" s="71" t="s">
        <v>6</v>
      </c>
      <c r="B2" s="71"/>
      <c r="C2" s="71"/>
      <c r="D2" s="71"/>
      <c r="E2" s="71"/>
      <c r="F2" s="71"/>
      <c r="G2" s="71"/>
      <c r="H2" s="71"/>
    </row>
    <row r="3" spans="1:8" ht="15" customHeight="1" x14ac:dyDescent="0.15">
      <c r="A3" s="72" t="s">
        <v>7</v>
      </c>
      <c r="B3" s="72"/>
      <c r="C3" s="72"/>
      <c r="D3" s="72"/>
      <c r="E3" s="72"/>
      <c r="F3" s="72"/>
      <c r="G3" s="72"/>
      <c r="H3" s="72"/>
    </row>
    <row r="4" spans="1:8" ht="15" customHeight="1" x14ac:dyDescent="0.15">
      <c r="A4" s="71" t="s">
        <v>8</v>
      </c>
      <c r="B4" s="71"/>
      <c r="C4" s="71"/>
      <c r="D4" s="71"/>
      <c r="E4" s="71"/>
      <c r="F4" s="71"/>
      <c r="G4" s="71"/>
      <c r="H4" s="71"/>
    </row>
    <row r="5" spans="1:8" ht="15" customHeight="1" x14ac:dyDescent="0.15">
      <c r="A5" s="1"/>
      <c r="B5" s="1"/>
      <c r="C5" s="3"/>
      <c r="D5" s="1"/>
      <c r="E5" s="1"/>
      <c r="F5" s="1"/>
      <c r="G5" s="1"/>
      <c r="H5" s="1"/>
    </row>
    <row r="6" spans="1:8" ht="15" customHeight="1" x14ac:dyDescent="0.15"/>
    <row r="7" spans="1:8" ht="15" customHeight="1" x14ac:dyDescent="0.15">
      <c r="A7" s="19" t="s">
        <v>13</v>
      </c>
      <c r="B7" s="43" t="s">
        <v>28</v>
      </c>
      <c r="C7" s="20"/>
      <c r="G7" s="6" t="s">
        <v>17</v>
      </c>
    </row>
    <row r="8" spans="1:8" ht="15" customHeight="1" x14ac:dyDescent="0.15">
      <c r="A8" s="19" t="s">
        <v>14</v>
      </c>
      <c r="B8" s="21" t="d">
        <v>2026-03-31</v>
      </c>
      <c r="C8" s="21"/>
      <c r="E8" s="2" t="s">
        <v>12</v>
      </c>
      <c r="G8" s="2" t="s">
        <v>18</v>
      </c>
    </row>
    <row r="9" spans="1:8" ht="15" customHeight="1" x14ac:dyDescent="0.15">
      <c r="A9" s="18"/>
      <c r="B9" s="18"/>
      <c r="E9" s="17" t="s">
        <v>10</v>
      </c>
      <c r="G9" s="2" t="s">
        <v>19</v>
      </c>
    </row>
    <row r="10" spans="1:8" ht="15" customHeight="1" x14ac:dyDescent="0.15">
      <c r="A10" s="4"/>
      <c r="B10" s="4"/>
      <c r="C10" s="1"/>
      <c r="D10" s="1"/>
      <c r="E10" s="1"/>
      <c r="F10" s="1"/>
      <c r="G10" s="1" t="s">
        <v>20</v>
      </c>
      <c r="H10" s="1"/>
    </row>
    <row r="11" spans="1:8" ht="15" customHeight="1" x14ac:dyDescent="0.15">
      <c r="A11" s="1"/>
      <c r="B11" s="1"/>
      <c r="C11" s="44" t="s">
        <v>21</v>
      </c>
      <c r="D11" s="1"/>
      <c r="E11" s="1"/>
      <c r="F11" s="1"/>
      <c r="G11" s="1"/>
      <c r="H11" s="1"/>
    </row>
    <row r="12" spans="1:8" ht="15" customHeight="1" x14ac:dyDescent="0.15">
      <c r="A12" s="1"/>
      <c r="B12" s="1"/>
      <c r="C12" s="1"/>
      <c r="D12" s="1"/>
      <c r="E12" s="1"/>
      <c r="F12" s="1"/>
      <c r="G12" s="1"/>
      <c r="H12" s="1"/>
    </row>
    <row r="13" spans="1:8" ht="15" customHeight="1" x14ac:dyDescent="0.15">
      <c r="A13" s="54"/>
      <c r="B13" s="54" t="s">
        <v>23</v>
      </c>
      <c r="C13" s="73" t="s">
        <v>0</v>
      </c>
      <c r="D13" s="73"/>
      <c r="E13" s="73"/>
      <c r="F13" s="73"/>
      <c r="G13" s="54" t="s">
        <v>1</v>
      </c>
      <c r="H13" s="54" t="s">
        <v>4</v>
      </c>
    </row>
    <row r="14" spans="1:8" ht="15" customHeight="1" x14ac:dyDescent="0.15">
      <c r="A14" s="48">
        <v>1.5</v>
      </c>
      <c r="B14" s="42" t="d">
        <v>2026-03-10</v>
      </c>
      <c r="C14" s="74" t="s">
        <v>24</v>
      </c>
      <c r="D14" s="74"/>
      <c r="E14" s="74"/>
      <c r="F14" s="74"/>
      <c r="G14" s="14">
        <f t="shared" ref="G14:G20" si="0">SUM(A14*50)</f>
        <v>75</v>
      </c>
      <c r="H14" s="15" t="s">
        <v>25</v>
      </c>
    </row>
    <row r="15" spans="1:8" ht="15" customHeight="1" x14ac:dyDescent="0.15">
      <c r="A15" s="48">
        <v>1.5</v>
      </c>
      <c r="B15" s="42" t="d">
        <v>2026-03-13</v>
      </c>
      <c r="C15" s="66" t="s">
        <v>24</v>
      </c>
      <c r="D15" s="66"/>
      <c r="E15" s="66"/>
      <c r="F15" s="66"/>
      <c r="G15" s="14">
        <f t="shared" si="0"/>
        <v>75</v>
      </c>
      <c r="H15" s="16" t="str">
        <f t="shared" ref="H15:H20" si="1">IF(G15,H$14,0)</f>
        <v>esente</v>
      </c>
    </row>
    <row r="16" spans="1:8" ht="15" customHeight="1" x14ac:dyDescent="0.15">
      <c r="A16" s="48">
        <v>1.5</v>
      </c>
      <c r="B16" s="42" t="d">
        <v>2026-03-17</v>
      </c>
      <c r="C16" s="66" t="s">
        <v>24</v>
      </c>
      <c r="D16" s="66"/>
      <c r="E16" s="66"/>
      <c r="F16" s="66"/>
      <c r="G16" s="14">
        <f t="shared" si="0"/>
        <v>75</v>
      </c>
      <c r="H16" s="16" t="str">
        <f t="shared" si="1"/>
        <v>esente</v>
      </c>
    </row>
    <row r="17" spans="1:8" ht="15" customHeight="1" x14ac:dyDescent="0.15">
      <c r="A17" s="48">
        <v>1.5</v>
      </c>
      <c r="B17" s="42" t="d">
        <v>2026-03-20</v>
      </c>
      <c r="C17" s="66" t="s">
        <v>24</v>
      </c>
      <c r="D17" s="66"/>
      <c r="E17" s="66"/>
      <c r="F17" s="66"/>
      <c r="G17" s="14">
        <f t="shared" si="0"/>
        <v>75</v>
      </c>
      <c r="H17" s="16" t="str">
        <f t="shared" si="1"/>
        <v>esente</v>
      </c>
    </row>
    <row r="18" spans="1:8" ht="15" customHeight="1" x14ac:dyDescent="0.15">
      <c r="A18" s="48">
        <v>1.5</v>
      </c>
      <c r="B18" s="42" t="d">
        <v>2026-03-24</v>
      </c>
      <c r="C18" s="49" t="s">
        <v>24</v>
      </c>
      <c r="D18" s="50"/>
      <c r="E18" s="50"/>
      <c r="F18" s="51"/>
      <c r="G18" s="14">
        <f t="shared" si="0"/>
        <v>75</v>
      </c>
      <c r="H18" s="16" t="str">
        <f t="shared" si="1"/>
        <v>esente</v>
      </c>
    </row>
    <row r="19" spans="1:8" ht="15" customHeight="1" x14ac:dyDescent="0.15">
      <c r="A19" s="48">
        <v>1.5</v>
      </c>
      <c r="B19" s="42" t="d">
        <v>2026-03-27</v>
      </c>
      <c r="C19" s="49" t="s">
        <v>24</v>
      </c>
      <c r="D19" s="50"/>
      <c r="E19" s="50"/>
      <c r="F19" s="51"/>
      <c r="G19" s="14">
        <f t="shared" si="0"/>
        <v>75</v>
      </c>
      <c r="H19" s="16" t="str">
        <f t="shared" si="1"/>
        <v>esente</v>
      </c>
    </row>
    <row r="20" spans="1:8" ht="15" customHeight="1" x14ac:dyDescent="0.15">
      <c r="A20" s="48">
        <v>1.5</v>
      </c>
      <c r="B20" s="42" t="d">
        <v>2026-03-31</v>
      </c>
      <c r="C20" s="49" t="s">
        <v>24</v>
      </c>
      <c r="D20" s="50"/>
      <c r="E20" s="50"/>
      <c r="F20" s="51"/>
      <c r="G20" s="14">
        <f t="shared" si="0"/>
        <v>75</v>
      </c>
      <c r="H20" s="16" t="str">
        <f t="shared" si="1"/>
        <v>esente</v>
      </c>
    </row>
    <row r="21" spans="1:8" ht="15" customHeight="1" x14ac:dyDescent="0.15">
      <c r="A21" s="48">
        <v>1.5</v>
      </c>
      <c r="B21" s="42"/>
      <c r="C21" s="49"/>
      <c r="D21" s="50"/>
      <c r="E21" s="50"/>
      <c r="F21" s="51"/>
      <c r="G21" s="14"/>
      <c r="H21" s="16"/>
    </row>
    <row r="22" spans="1:8" ht="15" customHeight="1" x14ac:dyDescent="0.15">
      <c r="A22" s="48">
        <v>1.5</v>
      </c>
      <c r="B22" s="42"/>
      <c r="C22" s="49"/>
      <c r="D22" s="50"/>
      <c r="E22" s="50"/>
      <c r="F22" s="51"/>
      <c r="G22" s="14"/>
      <c r="H22" s="16"/>
    </row>
    <row r="23" spans="1:8" ht="15" customHeight="1" x14ac:dyDescent="0.15">
      <c r="A23" s="48">
        <v>1.5</v>
      </c>
      <c r="B23" s="42"/>
      <c r="C23" s="49"/>
      <c r="D23" s="50"/>
      <c r="E23" s="50"/>
      <c r="F23" s="51"/>
      <c r="G23" s="14"/>
      <c r="H23" s="16"/>
    </row>
    <row r="24" spans="1:8" ht="15" customHeight="1" x14ac:dyDescent="0.15">
      <c r="A24" s="13"/>
      <c r="B24" s="23"/>
      <c r="C24" s="45"/>
      <c r="D24" s="46"/>
      <c r="E24" s="46"/>
      <c r="F24" s="47"/>
      <c r="G24" s="14"/>
      <c r="H24" s="16"/>
    </row>
    <row r="25" spans="1:8" ht="15" customHeight="1" x14ac:dyDescent="0.15">
      <c r="A25" s="13"/>
      <c r="B25" s="23"/>
      <c r="C25" s="67"/>
      <c r="D25" s="68"/>
      <c r="E25" s="68"/>
      <c r="F25" s="69"/>
      <c r="G25" s="14"/>
      <c r="H25" s="16"/>
    </row>
    <row r="26" spans="1:8" ht="15" customHeight="1" x14ac:dyDescent="0.15">
      <c r="A26" s="13"/>
      <c r="B26" s="13"/>
      <c r="C26" s="64"/>
      <c r="D26" s="64"/>
      <c r="E26" s="64"/>
      <c r="F26" s="64"/>
      <c r="G26" s="14"/>
      <c r="H26" s="16"/>
    </row>
    <row r="27" spans="1:8" ht="15" customHeight="1" x14ac:dyDescent="0.15">
      <c r="A27" s="13"/>
      <c r="B27" s="13"/>
      <c r="C27" s="64"/>
      <c r="D27" s="64"/>
      <c r="E27" s="64"/>
      <c r="F27" s="64"/>
      <c r="G27" s="14"/>
      <c r="H27" s="16"/>
    </row>
    <row r="28" spans="1:8" ht="15" customHeight="1" x14ac:dyDescent="0.15">
      <c r="A28" s="13"/>
      <c r="B28" s="13"/>
      <c r="C28" s="64"/>
      <c r="D28" s="64"/>
      <c r="E28" s="64"/>
      <c r="F28" s="64"/>
      <c r="G28" s="14"/>
      <c r="H28" s="16"/>
    </row>
    <row r="29" spans="1:8" ht="15" customHeight="1" x14ac:dyDescent="0.15">
      <c r="A29" s="13"/>
      <c r="B29" s="13"/>
      <c r="C29" s="65"/>
      <c r="D29" s="65"/>
      <c r="E29" s="65"/>
      <c r="F29" s="65"/>
      <c r="G29" s="14"/>
      <c r="H29" s="16"/>
    </row>
    <row r="30" spans="1:8" ht="15" customHeight="1" x14ac:dyDescent="0.15">
      <c r="A30" s="13"/>
      <c r="B30" s="13"/>
      <c r="C30" s="66"/>
      <c r="D30" s="66"/>
      <c r="E30" s="66"/>
      <c r="F30" s="66"/>
      <c r="G30" s="14"/>
      <c r="H30" s="16"/>
    </row>
    <row r="31" spans="1:8" ht="15" customHeight="1" x14ac:dyDescent="0.15">
      <c r="A31" s="58" t="s">
        <v>16</v>
      </c>
      <c r="B31" s="59"/>
      <c r="C31" s="60"/>
      <c r="D31" s="27"/>
      <c r="E31" s="27"/>
      <c r="F31" s="28"/>
      <c r="G31" s="14"/>
      <c r="H31" s="16"/>
    </row>
    <row r="32" spans="1:8" ht="15" customHeight="1" x14ac:dyDescent="0.15">
      <c r="A32" s="61" t="s">
        <v>15</v>
      </c>
      <c r="B32" s="62"/>
      <c r="C32" s="62"/>
      <c r="D32" s="62"/>
      <c r="E32" s="62"/>
      <c r="F32" s="63"/>
      <c r="G32" s="14"/>
      <c r="H32" s="16"/>
    </row>
    <row r="33" spans="1:8" ht="15" customHeight="1" x14ac:dyDescent="0.15">
      <c r="A33" s="26"/>
      <c r="B33" s="26"/>
      <c r="C33" s="57" t="s">
        <v>11</v>
      </c>
      <c r="D33" s="57"/>
      <c r="E33" s="57"/>
      <c r="F33" s="57"/>
      <c r="G33" s="14">
        <v>2</v>
      </c>
      <c r="H33" s="16"/>
    </row>
    <row r="34" spans="1:8" ht="15" customHeight="1" x14ac:dyDescent="0.15">
      <c r="A34" s="29"/>
      <c r="B34" s="30"/>
      <c r="C34" s="31" t="s">
        <v>3</v>
      </c>
      <c r="D34" s="7"/>
      <c r="E34" s="8" t="s">
        <v>3</v>
      </c>
      <c r="F34" s="9"/>
      <c r="G34" s="37">
        <f>SUM(G14:G33)</f>
        <v>527</v>
      </c>
      <c r="H34" s="25"/>
    </row>
    <row r="35" spans="1:8" ht="15" customHeight="1" x14ac:dyDescent="0.15">
      <c r="A35" s="32"/>
      <c r="B35" s="24"/>
      <c r="C35" s="33" t="s">
        <v>4</v>
      </c>
      <c r="D35" s="7"/>
      <c r="E35" s="8" t="s">
        <v>5</v>
      </c>
      <c r="F35" s="9"/>
      <c r="G35" s="38" t="str">
        <f>H14</f>
        <v>esente</v>
      </c>
      <c r="H35" s="40"/>
    </row>
    <row r="36" spans="1:8" ht="15" customHeight="1" x14ac:dyDescent="0.15">
      <c r="A36" s="34"/>
      <c r="B36" s="35"/>
      <c r="C36" s="36" t="s">
        <v>22</v>
      </c>
      <c r="D36" s="10"/>
      <c r="E36" s="11" t="s">
        <v>2</v>
      </c>
      <c r="F36" s="12"/>
      <c r="G36" s="39">
        <f>SUM(G34:G35)</f>
        <v>527</v>
      </c>
      <c r="H36" s="41"/>
    </row>
    <row r="37" spans="1:8" ht="13.5" customHeight="1" x14ac:dyDescent="0.15">
      <c r="A37" s="4"/>
      <c r="B37" s="4"/>
      <c r="C37" s="1"/>
      <c r="D37" s="5"/>
      <c r="E37" s="1"/>
      <c r="F37" s="1"/>
      <c r="G37" s="1"/>
      <c r="H37" s="1"/>
    </row>
    <row r="38" spans="1:8" ht="13.5" customHeight="1" x14ac:dyDescent="0.15">
      <c r="A38" s="4"/>
      <c r="B38" s="4"/>
    </row>
  </sheetData>
  <mergeCells count="18">
    <mergeCell ref="C28:F28"/>
    <mergeCell ref="C29:F29"/>
    <mergeCell ref="C30:F30"/>
    <mergeCell ref="A31:C31"/>
    <mergeCell ref="A32:F32"/>
    <mergeCell ref="C33:F33"/>
    <mergeCell ref="C15:F15"/>
    <mergeCell ref="C16:F16"/>
    <mergeCell ref="C17:F17"/>
    <mergeCell ref="C25:F25"/>
    <mergeCell ref="C26:F26"/>
    <mergeCell ref="C27:F27"/>
    <mergeCell ref="A1:H1"/>
    <mergeCell ref="A2:H2"/>
    <mergeCell ref="A3:H3"/>
    <mergeCell ref="A4:H4"/>
    <mergeCell ref="C13:F13"/>
    <mergeCell ref="C14:F14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49C0B-2AD8-5941-9F81-47AC43733605}">
  <dimension ref="A1:H38"/>
  <sheetViews>
    <sheetView topLeftCell="A4" workbookViewId="0">
      <selection activeCell="G35" sqref="G35"/>
    </sheetView>
  </sheetViews>
  <sheetFormatPr baseColWidth="10" defaultColWidth="9.1640625" defaultRowHeight="13.5" customHeight="1" x14ac:dyDescent="0.15"/>
  <cols>
    <col min="1" max="1" width="10.5" style="2" customWidth="1"/>
    <col min="2" max="2" width="11.5" style="2" customWidth="1"/>
    <col min="3" max="3" width="35.6640625" style="2" customWidth="1"/>
    <col min="4" max="4" width="3.33203125" style="2" hidden="1" customWidth="1"/>
    <col min="5" max="5" width="5.1640625" style="2" hidden="1" customWidth="1"/>
    <col min="6" max="6" width="4" style="2" hidden="1" customWidth="1"/>
    <col min="7" max="7" width="14" style="2" customWidth="1"/>
    <col min="8" max="8" width="7.83203125" style="2" customWidth="1"/>
    <col min="9" max="16384" width="9.1640625" style="2"/>
  </cols>
  <sheetData>
    <row r="1" spans="1:8" s="6" customFormat="1" ht="15" customHeight="1" x14ac:dyDescent="0.2">
      <c r="A1" s="70" t="s">
        <v>9</v>
      </c>
      <c r="B1" s="70"/>
      <c r="C1" s="70"/>
      <c r="D1" s="70"/>
      <c r="E1" s="70"/>
      <c r="F1" s="70"/>
      <c r="G1" s="70"/>
      <c r="H1" s="70"/>
    </row>
    <row r="2" spans="1:8" ht="15" customHeight="1" x14ac:dyDescent="0.15">
      <c r="A2" s="71" t="s">
        <v>6</v>
      </c>
      <c r="B2" s="71"/>
      <c r="C2" s="71"/>
      <c r="D2" s="71"/>
      <c r="E2" s="71"/>
      <c r="F2" s="71"/>
      <c r="G2" s="71"/>
      <c r="H2" s="71"/>
    </row>
    <row r="3" spans="1:8" ht="15" customHeight="1" x14ac:dyDescent="0.15">
      <c r="A3" s="72" t="s">
        <v>7</v>
      </c>
      <c r="B3" s="72"/>
      <c r="C3" s="72"/>
      <c r="D3" s="72"/>
      <c r="E3" s="72"/>
      <c r="F3" s="72"/>
      <c r="G3" s="72"/>
      <c r="H3" s="72"/>
    </row>
    <row r="4" spans="1:8" ht="15" customHeight="1" x14ac:dyDescent="0.15">
      <c r="A4" s="71" t="s">
        <v>8</v>
      </c>
      <c r="B4" s="71"/>
      <c r="C4" s="71"/>
      <c r="D4" s="71"/>
      <c r="E4" s="71"/>
      <c r="F4" s="71"/>
      <c r="G4" s="71"/>
      <c r="H4" s="71"/>
    </row>
    <row r="5" spans="1:8" ht="15" customHeight="1" x14ac:dyDescent="0.15">
      <c r="A5" s="1"/>
      <c r="B5" s="1"/>
      <c r="C5" s="3"/>
      <c r="D5" s="1"/>
      <c r="E5" s="1"/>
      <c r="F5" s="1"/>
      <c r="G5" s="1"/>
      <c r="H5" s="1"/>
    </row>
    <row r="6" spans="1:8" ht="15" customHeight="1" x14ac:dyDescent="0.15"/>
    <row r="7" spans="1:8" ht="15" customHeight="1" x14ac:dyDescent="0.15">
      <c r="A7" s="19" t="s">
        <v>13</v>
      </c>
      <c r="B7" s="43" t="s">
        <v>29</v>
      </c>
      <c r="C7" s="20"/>
      <c r="G7" s="6" t="s">
        <v>17</v>
      </c>
    </row>
    <row r="8" spans="1:8" ht="15" customHeight="1" x14ac:dyDescent="0.15">
      <c r="A8" s="19" t="s">
        <v>14</v>
      </c>
      <c r="B8" s="21" t="d">
        <v>2026-04-30</v>
      </c>
      <c r="C8" s="21"/>
      <c r="E8" s="2" t="s">
        <v>12</v>
      </c>
      <c r="G8" s="2" t="s">
        <v>18</v>
      </c>
    </row>
    <row r="9" spans="1:8" ht="15" customHeight="1" x14ac:dyDescent="0.15">
      <c r="A9" s="18"/>
      <c r="B9" s="18"/>
      <c r="E9" s="17" t="s">
        <v>10</v>
      </c>
      <c r="G9" s="2" t="s">
        <v>19</v>
      </c>
    </row>
    <row r="10" spans="1:8" ht="15" customHeight="1" x14ac:dyDescent="0.15">
      <c r="A10" s="4"/>
      <c r="B10" s="4"/>
      <c r="C10" s="1"/>
      <c r="D10" s="1"/>
      <c r="E10" s="1"/>
      <c r="F10" s="1"/>
      <c r="G10" s="1" t="s">
        <v>20</v>
      </c>
      <c r="H10" s="1"/>
    </row>
    <row r="11" spans="1:8" ht="15" customHeight="1" x14ac:dyDescent="0.15">
      <c r="A11" s="1"/>
      <c r="B11" s="1"/>
      <c r="C11" s="44" t="s">
        <v>21</v>
      </c>
      <c r="D11" s="1"/>
      <c r="E11" s="1"/>
      <c r="F11" s="1"/>
      <c r="G11" s="1"/>
      <c r="H11" s="1"/>
    </row>
    <row r="12" spans="1:8" ht="15" customHeight="1" x14ac:dyDescent="0.15">
      <c r="A12" s="1"/>
      <c r="B12" s="1"/>
      <c r="C12" s="1"/>
      <c r="D12" s="1"/>
      <c r="E12" s="1"/>
      <c r="F12" s="1"/>
      <c r="G12" s="1"/>
      <c r="H12" s="1"/>
    </row>
    <row r="13" spans="1:8" ht="15" customHeight="1" x14ac:dyDescent="0.15">
      <c r="A13" s="55"/>
      <c r="B13" s="55" t="s">
        <v>23</v>
      </c>
      <c r="C13" s="73" t="s">
        <v>0</v>
      </c>
      <c r="D13" s="73"/>
      <c r="E13" s="73"/>
      <c r="F13" s="73"/>
      <c r="G13" s="55" t="s">
        <v>1</v>
      </c>
      <c r="H13" s="55" t="s">
        <v>4</v>
      </c>
    </row>
    <row r="14" spans="1:8" ht="15" customHeight="1" x14ac:dyDescent="0.15">
      <c r="A14" s="48">
        <v>1.5</v>
      </c>
      <c r="B14" s="42" t="d">
        <v>2026-04-10</v>
      </c>
      <c r="C14" s="74" t="s">
        <v>24</v>
      </c>
      <c r="D14" s="74"/>
      <c r="E14" s="74"/>
      <c r="F14" s="74"/>
      <c r="G14" s="14">
        <f>SUM(A14*50)</f>
        <v>75</v>
      </c>
      <c r="H14" s="15" t="s">
        <v>25</v>
      </c>
    </row>
    <row r="15" spans="1:8" ht="15" customHeight="1" x14ac:dyDescent="0.15">
      <c r="A15" s="48">
        <v>1.5</v>
      </c>
      <c r="B15" s="42" t="d">
        <v>2026-04-14</v>
      </c>
      <c r="C15" s="66" t="s">
        <v>24</v>
      </c>
      <c r="D15" s="66"/>
      <c r="E15" s="66"/>
      <c r="F15" s="66"/>
      <c r="G15" s="14">
        <f>SUM(A15*50)</f>
        <v>75</v>
      </c>
      <c r="H15" s="16" t="str">
        <f>IF(G15,H$14,0)</f>
        <v>esente</v>
      </c>
    </row>
    <row r="16" spans="1:8" ht="15" customHeight="1" x14ac:dyDescent="0.15">
      <c r="A16" s="48">
        <v>1.5</v>
      </c>
      <c r="B16" s="42" t="d">
        <v>2026-04-17</v>
      </c>
      <c r="C16" s="66" t="s">
        <v>24</v>
      </c>
      <c r="D16" s="66"/>
      <c r="E16" s="66"/>
      <c r="F16" s="66"/>
      <c r="G16" s="14">
        <f>SUM(A16*50)</f>
        <v>75</v>
      </c>
      <c r="H16" s="16" t="str">
        <f>IF(G16,H$14,0)</f>
        <v>esente</v>
      </c>
    </row>
    <row r="17" spans="1:8" ht="15" customHeight="1" x14ac:dyDescent="0.15">
      <c r="A17" s="48">
        <v>1.5</v>
      </c>
      <c r="B17" s="42" t="d">
        <v>2026-04-21</v>
      </c>
      <c r="C17" s="66" t="s">
        <v>24</v>
      </c>
      <c r="D17" s="66"/>
      <c r="E17" s="66"/>
      <c r="F17" s="66"/>
      <c r="G17" s="14">
        <f>SUM(A17*50)</f>
        <v>75</v>
      </c>
      <c r="H17" s="16" t="str">
        <f>IF(G17,H$14,0)</f>
        <v>esente</v>
      </c>
    </row>
    <row r="18" spans="1:8" ht="15" customHeight="1" x14ac:dyDescent="0.15">
      <c r="A18" s="48">
        <v>1.5</v>
      </c>
      <c r="B18" s="42" t="d">
        <v>2026-04-24</v>
      </c>
      <c r="C18" s="49" t="s">
        <v>24</v>
      </c>
      <c r="D18" s="50"/>
      <c r="E18" s="50"/>
      <c r="F18" s="51"/>
      <c r="G18" s="14">
        <f>SUM(A18*50)</f>
        <v>75</v>
      </c>
      <c r="H18" s="16" t="str">
        <f>IF(G18,H$14,0)</f>
        <v>esente</v>
      </c>
    </row>
    <row r="19" spans="1:8" ht="15" customHeight="1" x14ac:dyDescent="0.15">
      <c r="A19" s="48">
        <v>1.5</v>
      </c>
      <c r="B19" s="42"/>
      <c r="C19" s="49"/>
      <c r="D19" s="50"/>
      <c r="E19" s="50"/>
      <c r="F19" s="51"/>
      <c r="G19" s="14"/>
      <c r="H19" s="16"/>
    </row>
    <row r="20" spans="1:8" ht="15" customHeight="1" x14ac:dyDescent="0.15">
      <c r="A20" s="48">
        <v>1.5</v>
      </c>
      <c r="B20" s="42"/>
      <c r="C20" s="49"/>
      <c r="D20" s="50"/>
      <c r="E20" s="50"/>
      <c r="F20" s="51"/>
      <c r="G20" s="14"/>
      <c r="H20" s="16"/>
    </row>
    <row r="21" spans="1:8" ht="15" customHeight="1" x14ac:dyDescent="0.15">
      <c r="A21" s="48">
        <v>1.5</v>
      </c>
      <c r="B21" s="42"/>
      <c r="C21" s="49"/>
      <c r="D21" s="50"/>
      <c r="E21" s="50"/>
      <c r="F21" s="51"/>
      <c r="G21" s="14"/>
      <c r="H21" s="16"/>
    </row>
    <row r="22" spans="1:8" ht="15" customHeight="1" x14ac:dyDescent="0.15">
      <c r="A22" s="48">
        <v>1.5</v>
      </c>
      <c r="B22" s="42"/>
      <c r="C22" s="49"/>
      <c r="D22" s="50"/>
      <c r="E22" s="50"/>
      <c r="F22" s="51"/>
      <c r="G22" s="14"/>
      <c r="H22" s="16"/>
    </row>
    <row r="23" spans="1:8" ht="15" customHeight="1" x14ac:dyDescent="0.15">
      <c r="A23" s="48">
        <v>1.5</v>
      </c>
      <c r="B23" s="42"/>
      <c r="C23" s="49"/>
      <c r="D23" s="50"/>
      <c r="E23" s="50"/>
      <c r="F23" s="51"/>
      <c r="G23" s="14"/>
      <c r="H23" s="16"/>
    </row>
    <row r="24" spans="1:8" ht="15" customHeight="1" x14ac:dyDescent="0.15">
      <c r="A24" s="13"/>
      <c r="B24" s="23"/>
      <c r="C24" s="45"/>
      <c r="D24" s="46"/>
      <c r="E24" s="46"/>
      <c r="F24" s="47"/>
      <c r="G24" s="14"/>
      <c r="H24" s="16"/>
    </row>
    <row r="25" spans="1:8" ht="15" customHeight="1" x14ac:dyDescent="0.15">
      <c r="A25" s="13"/>
      <c r="B25" s="23"/>
      <c r="C25" s="67"/>
      <c r="D25" s="68"/>
      <c r="E25" s="68"/>
      <c r="F25" s="69"/>
      <c r="G25" s="14"/>
      <c r="H25" s="16"/>
    </row>
    <row r="26" spans="1:8" ht="15" customHeight="1" x14ac:dyDescent="0.15">
      <c r="A26" s="13"/>
      <c r="B26" s="13"/>
      <c r="C26" s="64"/>
      <c r="D26" s="64"/>
      <c r="E26" s="64"/>
      <c r="F26" s="64"/>
      <c r="G26" s="14"/>
      <c r="H26" s="16"/>
    </row>
    <row r="27" spans="1:8" ht="15" customHeight="1" x14ac:dyDescent="0.15">
      <c r="A27" s="13"/>
      <c r="B27" s="13"/>
      <c r="C27" s="64"/>
      <c r="D27" s="64"/>
      <c r="E27" s="64"/>
      <c r="F27" s="64"/>
      <c r="G27" s="14"/>
      <c r="H27" s="16"/>
    </row>
    <row r="28" spans="1:8" ht="15" customHeight="1" x14ac:dyDescent="0.15">
      <c r="A28" s="13"/>
      <c r="B28" s="13"/>
      <c r="C28" s="64"/>
      <c r="D28" s="64"/>
      <c r="E28" s="64"/>
      <c r="F28" s="64"/>
      <c r="G28" s="14"/>
      <c r="H28" s="16"/>
    </row>
    <row r="29" spans="1:8" ht="15" customHeight="1" x14ac:dyDescent="0.15">
      <c r="A29" s="13"/>
      <c r="B29" s="13"/>
      <c r="C29" s="65"/>
      <c r="D29" s="65"/>
      <c r="E29" s="65"/>
      <c r="F29" s="65"/>
      <c r="G29" s="14"/>
      <c r="H29" s="16"/>
    </row>
    <row r="30" spans="1:8" ht="15" customHeight="1" x14ac:dyDescent="0.15">
      <c r="A30" s="13"/>
      <c r="B30" s="13"/>
      <c r="C30" s="66"/>
      <c r="D30" s="66"/>
      <c r="E30" s="66"/>
      <c r="F30" s="66"/>
      <c r="G30" s="14"/>
      <c r="H30" s="16"/>
    </row>
    <row r="31" spans="1:8" ht="15" customHeight="1" x14ac:dyDescent="0.15">
      <c r="A31" s="58" t="s">
        <v>16</v>
      </c>
      <c r="B31" s="59"/>
      <c r="C31" s="60"/>
      <c r="D31" s="27"/>
      <c r="E31" s="27"/>
      <c r="F31" s="28"/>
      <c r="G31" s="14"/>
      <c r="H31" s="16"/>
    </row>
    <row r="32" spans="1:8" ht="15" customHeight="1" x14ac:dyDescent="0.15">
      <c r="A32" s="61" t="s">
        <v>15</v>
      </c>
      <c r="B32" s="62"/>
      <c r="C32" s="62"/>
      <c r="D32" s="62"/>
      <c r="E32" s="62"/>
      <c r="F32" s="63"/>
      <c r="G32" s="14"/>
      <c r="H32" s="16"/>
    </row>
    <row r="33" spans="1:8" ht="15" customHeight="1" x14ac:dyDescent="0.15">
      <c r="A33" s="26"/>
      <c r="B33" s="26"/>
      <c r="C33" s="57" t="s">
        <v>11</v>
      </c>
      <c r="D33" s="57"/>
      <c r="E33" s="57"/>
      <c r="F33" s="57"/>
      <c r="G33" s="14">
        <v>2</v>
      </c>
      <c r="H33" s="16"/>
    </row>
    <row r="34" spans="1:8" ht="15" customHeight="1" x14ac:dyDescent="0.15">
      <c r="A34" s="29"/>
      <c r="B34" s="30"/>
      <c r="C34" s="31" t="s">
        <v>3</v>
      </c>
      <c r="D34" s="7"/>
      <c r="E34" s="8" t="s">
        <v>3</v>
      </c>
      <c r="F34" s="9"/>
      <c r="G34" s="37">
        <f>SUM(G14:G33)</f>
        <v>377</v>
      </c>
      <c r="H34" s="25"/>
    </row>
    <row r="35" spans="1:8" ht="15" customHeight="1" x14ac:dyDescent="0.15">
      <c r="A35" s="32"/>
      <c r="B35" s="24"/>
      <c r="C35" s="33" t="s">
        <v>4</v>
      </c>
      <c r="D35" s="7"/>
      <c r="E35" s="8" t="s">
        <v>5</v>
      </c>
      <c r="F35" s="9"/>
      <c r="G35" s="56" t="str">
        <f>H14</f>
        <v>esente</v>
      </c>
      <c r="H35" s="40"/>
    </row>
    <row r="36" spans="1:8" ht="15" customHeight="1" x14ac:dyDescent="0.15">
      <c r="A36" s="34"/>
      <c r="B36" s="35"/>
      <c r="C36" s="36" t="s">
        <v>22</v>
      </c>
      <c r="D36" s="10"/>
      <c r="E36" s="11" t="s">
        <v>2</v>
      </c>
      <c r="F36" s="12"/>
      <c r="G36" s="39">
        <f>SUM(G34:G35)</f>
        <v>377</v>
      </c>
      <c r="H36" s="41"/>
    </row>
    <row r="37" spans="1:8" ht="13.5" customHeight="1" x14ac:dyDescent="0.15">
      <c r="A37" s="4"/>
      <c r="B37" s="4"/>
      <c r="C37" s="1"/>
      <c r="D37" s="5"/>
      <c r="E37" s="1"/>
      <c r="F37" s="1"/>
      <c r="G37" s="1"/>
      <c r="H37" s="1"/>
    </row>
    <row r="38" spans="1:8" ht="13.5" customHeight="1" x14ac:dyDescent="0.15">
      <c r="A38" s="4"/>
      <c r="B38" s="4"/>
    </row>
  </sheetData>
  <mergeCells count="18">
    <mergeCell ref="A1:H1"/>
    <mergeCell ref="A2:H2"/>
    <mergeCell ref="A3:H3"/>
    <mergeCell ref="A4:H4"/>
    <mergeCell ref="C13:F13"/>
    <mergeCell ref="C14:F14"/>
    <mergeCell ref="C15:F15"/>
    <mergeCell ref="C16:F16"/>
    <mergeCell ref="C17:F17"/>
    <mergeCell ref="C25:F25"/>
    <mergeCell ref="C26:F26"/>
    <mergeCell ref="C27:F27"/>
    <mergeCell ref="C28:F28"/>
    <mergeCell ref="C29:F29"/>
    <mergeCell ref="C30:F30"/>
    <mergeCell ref="A31:C31"/>
    <mergeCell ref="A32:F32"/>
    <mergeCell ref="C33:F33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0B7FC-9A80-D041-9130-8D02D655E7D9}">
  <dimension ref="A1:H38"/>
  <sheetViews>
    <sheetView tabSelected="1" topLeftCell="A13" workbookViewId="0">
      <selection activeCell="B8" sqref="B8"/>
    </sheetView>
  </sheetViews>
  <sheetFormatPr baseColWidth="10" defaultColWidth="9.1640625" defaultRowHeight="13.5" customHeight="1" x14ac:dyDescent="0.15"/>
  <cols>
    <col min="1" max="1" width="10.5" style="2" customWidth="1"/>
    <col min="2" max="2" width="11.5" style="2" customWidth="1"/>
    <col min="3" max="3" width="35.6640625" style="2" customWidth="1"/>
    <col min="4" max="4" width="3.33203125" style="2" hidden="1" customWidth="1"/>
    <col min="5" max="5" width="5.1640625" style="2" hidden="1" customWidth="1"/>
    <col min="6" max="6" width="4" style="2" hidden="1" customWidth="1"/>
    <col min="7" max="7" width="14" style="2" customWidth="1"/>
    <col min="8" max="8" width="7.83203125" style="2" customWidth="1"/>
    <col min="9" max="16384" width="9.1640625" style="2"/>
  </cols>
  <sheetData>
    <row r="1" spans="1:8" s="6" customFormat="1" ht="15" customHeight="1" x14ac:dyDescent="0.2">
      <c r="A1" s="70" t="s">
        <v>9</v>
      </c>
      <c r="B1" s="70"/>
      <c r="C1" s="70"/>
      <c r="D1" s="70"/>
      <c r="E1" s="70"/>
      <c r="F1" s="70"/>
      <c r="G1" s="70"/>
      <c r="H1" s="70"/>
    </row>
    <row r="2" spans="1:8" ht="15" customHeight="1" x14ac:dyDescent="0.15">
      <c r="A2" s="71" t="s">
        <v>6</v>
      </c>
      <c r="B2" s="71"/>
      <c r="C2" s="71"/>
      <c r="D2" s="71"/>
      <c r="E2" s="71"/>
      <c r="F2" s="71"/>
      <c r="G2" s="71"/>
      <c r="H2" s="71"/>
    </row>
    <row r="3" spans="1:8" ht="15" customHeight="1" x14ac:dyDescent="0.15">
      <c r="A3" s="72" t="s">
        <v>7</v>
      </c>
      <c r="B3" s="72"/>
      <c r="C3" s="72"/>
      <c r="D3" s="72"/>
      <c r="E3" s="72"/>
      <c r="F3" s="72"/>
      <c r="G3" s="72"/>
      <c r="H3" s="72"/>
    </row>
    <row r="4" spans="1:8" ht="15" customHeight="1" x14ac:dyDescent="0.15">
      <c r="A4" s="71" t="s">
        <v>8</v>
      </c>
      <c r="B4" s="71"/>
      <c r="C4" s="71"/>
      <c r="D4" s="71"/>
      <c r="E4" s="71"/>
      <c r="F4" s="71"/>
      <c r="G4" s="71"/>
      <c r="H4" s="71"/>
    </row>
    <row r="5" spans="1:8" ht="15" customHeight="1" x14ac:dyDescent="0.15">
      <c r="A5" s="1"/>
      <c r="B5" s="1"/>
      <c r="C5" s="3"/>
      <c r="D5" s="1"/>
      <c r="E5" s="1"/>
      <c r="F5" s="1"/>
      <c r="G5" s="1"/>
      <c r="H5" s="1"/>
    </row>
    <row r="6" spans="1:8" ht="15" customHeight="1" x14ac:dyDescent="0.15"/>
    <row r="7" spans="1:8" ht="15" customHeight="1" x14ac:dyDescent="0.15">
      <c r="A7" s="19" t="s">
        <v>13</v>
      </c>
      <c r="B7" s="43" t="s">
        <v>30</v>
      </c>
      <c r="C7" s="20"/>
      <c r="G7" s="6" t="s">
        <v>17</v>
      </c>
    </row>
    <row r="8" spans="1:8" ht="15" customHeight="1" x14ac:dyDescent="0.15">
      <c r="A8" s="19" t="s">
        <v>14</v>
      </c>
      <c r="B8" s="21" t="d">
        <v>2026-05-31</v>
      </c>
      <c r="C8" s="21"/>
      <c r="E8" s="2" t="s">
        <v>12</v>
      </c>
      <c r="G8" s="2" t="s">
        <v>18</v>
      </c>
    </row>
    <row r="9" spans="1:8" ht="15" customHeight="1" x14ac:dyDescent="0.15">
      <c r="A9" s="18"/>
      <c r="B9" s="18"/>
      <c r="E9" s="17" t="s">
        <v>10</v>
      </c>
      <c r="G9" s="2" t="s">
        <v>19</v>
      </c>
    </row>
    <row r="10" spans="1:8" ht="15" customHeight="1" x14ac:dyDescent="0.15">
      <c r="A10" s="4"/>
      <c r="B10" s="4"/>
      <c r="C10" s="1"/>
      <c r="D10" s="1"/>
      <c r="E10" s="1"/>
      <c r="F10" s="1"/>
      <c r="G10" s="1" t="s">
        <v>20</v>
      </c>
      <c r="H10" s="1"/>
    </row>
    <row r="11" spans="1:8" ht="15" customHeight="1" x14ac:dyDescent="0.15">
      <c r="A11" s="1"/>
      <c r="B11" s="1"/>
      <c r="C11" s="44" t="s">
        <v>21</v>
      </c>
      <c r="D11" s="1"/>
      <c r="E11" s="1"/>
      <c r="F11" s="1"/>
      <c r="G11" s="1"/>
      <c r="H11" s="1"/>
    </row>
    <row r="12" spans="1:8" ht="15" customHeight="1" x14ac:dyDescent="0.15">
      <c r="A12" s="1"/>
      <c r="B12" s="1"/>
      <c r="C12" s="1"/>
      <c r="D12" s="1"/>
      <c r="E12" s="1"/>
      <c r="F12" s="1"/>
      <c r="G12" s="1"/>
      <c r="H12" s="1"/>
    </row>
    <row r="13" spans="1:8" ht="15" customHeight="1" x14ac:dyDescent="0.15">
      <c r="A13" s="53"/>
      <c r="B13" s="53" t="s">
        <v>23</v>
      </c>
      <c r="C13" s="73" t="s">
        <v>0</v>
      </c>
      <c r="D13" s="73"/>
      <c r="E13" s="73"/>
      <c r="F13" s="73"/>
      <c r="G13" s="53" t="s">
        <v>1</v>
      </c>
      <c r="H13" s="53" t="s">
        <v>4</v>
      </c>
    </row>
    <row r="14" spans="1:8" ht="15" customHeight="1" x14ac:dyDescent="0.15">
      <c r="A14" s="48">
        <v>1.5</v>
      </c>
      <c r="B14" s="42" t="d">
        <v>2026-05-05</v>
      </c>
      <c r="C14" s="74" t="s">
        <v>24</v>
      </c>
      <c r="D14" s="74"/>
      <c r="E14" s="74"/>
      <c r="F14" s="74"/>
      <c r="G14" s="14">
        <f t="shared" ref="G14:G21" si="0">SUM(A14*50)</f>
        <v>75</v>
      </c>
      <c r="H14" s="15" t="s">
        <v>25</v>
      </c>
    </row>
    <row r="15" spans="1:8" ht="15" customHeight="1" x14ac:dyDescent="0.15">
      <c r="A15" s="48">
        <v>1.5</v>
      </c>
      <c r="B15" s="42" t="d">
        <v>2026-05-06</v>
      </c>
      <c r="C15" s="66" t="s">
        <v>24</v>
      </c>
      <c r="D15" s="66"/>
      <c r="E15" s="66"/>
      <c r="F15" s="66"/>
      <c r="G15" s="14">
        <f t="shared" si="0"/>
        <v>75</v>
      </c>
      <c r="H15" s="16" t="str">
        <f t="shared" ref="H15:H21" si="1">IF(G15,H$14,0)</f>
        <v>esente</v>
      </c>
    </row>
    <row r="16" spans="1:8" ht="15" customHeight="1" x14ac:dyDescent="0.15">
      <c r="A16" s="48">
        <v>1.5</v>
      </c>
      <c r="B16" s="42" t="d">
        <v>2026-05-12</v>
      </c>
      <c r="C16" s="66" t="s">
        <v>24</v>
      </c>
      <c r="D16" s="66"/>
      <c r="E16" s="66"/>
      <c r="F16" s="66"/>
      <c r="G16" s="14">
        <f t="shared" si="0"/>
        <v>75</v>
      </c>
      <c r="H16" s="16" t="str">
        <f t="shared" si="1"/>
        <v>esente</v>
      </c>
    </row>
    <row r="17" spans="1:8" ht="15" customHeight="1" x14ac:dyDescent="0.15">
      <c r="A17" s="48">
        <v>1.5</v>
      </c>
      <c r="B17" s="42" t="d">
        <v>2026-05-14</v>
      </c>
      <c r="C17" s="66" t="s">
        <v>24</v>
      </c>
      <c r="D17" s="66"/>
      <c r="E17" s="66"/>
      <c r="F17" s="66"/>
      <c r="G17" s="14">
        <f t="shared" si="0"/>
        <v>75</v>
      </c>
      <c r="H17" s="16" t="str">
        <f t="shared" si="1"/>
        <v>esente</v>
      </c>
    </row>
    <row r="18" spans="1:8" ht="15" customHeight="1" x14ac:dyDescent="0.15">
      <c r="A18" s="48">
        <v>1.5</v>
      </c>
      <c r="B18" s="42" t="d">
        <v>2026-05-15</v>
      </c>
      <c r="C18" s="49" t="s">
        <v>24</v>
      </c>
      <c r="D18" s="50"/>
      <c r="E18" s="50"/>
      <c r="F18" s="51"/>
      <c r="G18" s="14">
        <f t="shared" si="0"/>
        <v>75</v>
      </c>
      <c r="H18" s="16" t="str">
        <f t="shared" si="1"/>
        <v>esente</v>
      </c>
    </row>
    <row r="19" spans="1:8" ht="15" customHeight="1" x14ac:dyDescent="0.15">
      <c r="A19" s="48">
        <v>1.5</v>
      </c>
      <c r="B19" s="42" t="d">
        <v>2026-05-19</v>
      </c>
      <c r="C19" s="49" t="s">
        <v>24</v>
      </c>
      <c r="D19" s="50"/>
      <c r="E19" s="50"/>
      <c r="F19" s="51"/>
      <c r="G19" s="14">
        <f t="shared" si="0"/>
        <v>75</v>
      </c>
      <c r="H19" s="16" t="str">
        <f t="shared" si="1"/>
        <v>esente</v>
      </c>
    </row>
    <row r="20" spans="1:8" ht="15" customHeight="1" x14ac:dyDescent="0.15">
      <c r="A20" s="48">
        <v>1.5</v>
      </c>
      <c r="B20" s="42" t="d">
        <v>2026-05-22</v>
      </c>
      <c r="C20" s="49" t="s">
        <v>24</v>
      </c>
      <c r="D20" s="50"/>
      <c r="E20" s="50"/>
      <c r="F20" s="51"/>
      <c r="G20" s="14">
        <f t="shared" si="0"/>
        <v>75</v>
      </c>
      <c r="H20" s="16" t="str">
        <f t="shared" si="1"/>
        <v>esente</v>
      </c>
    </row>
    <row r="21" spans="1:8" ht="15" customHeight="1" x14ac:dyDescent="0.15">
      <c r="A21" s="48">
        <v>1.5</v>
      </c>
      <c r="B21" s="42" t="d">
        <v>2026-05-29</v>
      </c>
      <c r="C21" s="49" t="s">
        <v>24</v>
      </c>
      <c r="D21" s="50"/>
      <c r="E21" s="50"/>
      <c r="F21" s="51"/>
      <c r="G21" s="14">
        <f t="shared" si="0"/>
        <v>75</v>
      </c>
      <c r="H21" s="16" t="str">
        <f t="shared" si="1"/>
        <v>esente</v>
      </c>
    </row>
    <row r="22" spans="1:8" ht="15" customHeight="1" x14ac:dyDescent="0.15">
      <c r="A22" s="48">
        <v>1.5</v>
      </c>
      <c r="B22" s="42"/>
      <c r="C22" s="49"/>
      <c r="D22" s="50"/>
      <c r="E22" s="50"/>
      <c r="F22" s="51"/>
      <c r="G22" s="14"/>
      <c r="H22" s="16"/>
    </row>
    <row r="23" spans="1:8" ht="15" customHeight="1" x14ac:dyDescent="0.15">
      <c r="A23" s="48">
        <v>1.5</v>
      </c>
      <c r="B23" s="42"/>
      <c r="C23" s="49"/>
      <c r="D23" s="50"/>
      <c r="E23" s="50"/>
      <c r="F23" s="51"/>
      <c r="G23" s="14"/>
      <c r="H23" s="16"/>
    </row>
    <row r="24" spans="1:8" ht="15" customHeight="1" x14ac:dyDescent="0.15">
      <c r="A24" s="13"/>
      <c r="B24" s="23"/>
      <c r="C24" s="45"/>
      <c r="D24" s="46"/>
      <c r="E24" s="46"/>
      <c r="F24" s="47"/>
      <c r="G24" s="14"/>
      <c r="H24" s="16"/>
    </row>
    <row r="25" spans="1:8" ht="15" customHeight="1" x14ac:dyDescent="0.15">
      <c r="A25" s="13"/>
      <c r="B25" s="23"/>
      <c r="C25" s="67"/>
      <c r="D25" s="68"/>
      <c r="E25" s="68"/>
      <c r="F25" s="69"/>
      <c r="G25" s="14"/>
      <c r="H25" s="16"/>
    </row>
    <row r="26" spans="1:8" ht="15" customHeight="1" x14ac:dyDescent="0.15">
      <c r="A26" s="13"/>
      <c r="B26" s="13"/>
      <c r="C26" s="64"/>
      <c r="D26" s="64"/>
      <c r="E26" s="64"/>
      <c r="F26" s="64"/>
      <c r="G26" s="14"/>
      <c r="H26" s="16"/>
    </row>
    <row r="27" spans="1:8" ht="15" customHeight="1" x14ac:dyDescent="0.15">
      <c r="A27" s="13"/>
      <c r="B27" s="13"/>
      <c r="C27" s="64"/>
      <c r="D27" s="64"/>
      <c r="E27" s="64"/>
      <c r="F27" s="64"/>
      <c r="G27" s="14"/>
      <c r="H27" s="16"/>
    </row>
    <row r="28" spans="1:8" ht="15" customHeight="1" x14ac:dyDescent="0.15">
      <c r="A28" s="13"/>
      <c r="B28" s="13"/>
      <c r="C28" s="64"/>
      <c r="D28" s="64"/>
      <c r="E28" s="64"/>
      <c r="F28" s="64"/>
      <c r="G28" s="14"/>
      <c r="H28" s="16"/>
    </row>
    <row r="29" spans="1:8" ht="15" customHeight="1" x14ac:dyDescent="0.15">
      <c r="A29" s="13"/>
      <c r="B29" s="13"/>
      <c r="C29" s="65"/>
      <c r="D29" s="65"/>
      <c r="E29" s="65"/>
      <c r="F29" s="65"/>
      <c r="G29" s="14"/>
      <c r="H29" s="16"/>
    </row>
    <row r="30" spans="1:8" ht="15" customHeight="1" x14ac:dyDescent="0.15">
      <c r="A30" s="13"/>
      <c r="B30" s="13"/>
      <c r="C30" s="66"/>
      <c r="D30" s="66"/>
      <c r="E30" s="66"/>
      <c r="F30" s="66"/>
      <c r="G30" s="14"/>
      <c r="H30" s="16"/>
    </row>
    <row r="31" spans="1:8" ht="15" customHeight="1" x14ac:dyDescent="0.15">
      <c r="A31" s="58" t="s">
        <v>16</v>
      </c>
      <c r="B31" s="59"/>
      <c r="C31" s="60"/>
      <c r="D31" s="27"/>
      <c r="E31" s="27"/>
      <c r="F31" s="28"/>
      <c r="G31" s="14"/>
      <c r="H31" s="16"/>
    </row>
    <row r="32" spans="1:8" ht="15" customHeight="1" x14ac:dyDescent="0.15">
      <c r="A32" s="61" t="s">
        <v>15</v>
      </c>
      <c r="B32" s="62"/>
      <c r="C32" s="62"/>
      <c r="D32" s="62"/>
      <c r="E32" s="62"/>
      <c r="F32" s="63"/>
      <c r="G32" s="14"/>
      <c r="H32" s="16"/>
    </row>
    <row r="33" spans="1:8" ht="15" customHeight="1" x14ac:dyDescent="0.15">
      <c r="A33" s="26"/>
      <c r="B33" s="26"/>
      <c r="C33" s="57" t="s">
        <v>11</v>
      </c>
      <c r="D33" s="57"/>
      <c r="E33" s="57"/>
      <c r="F33" s="57"/>
      <c r="G33" s="14">
        <v>2</v>
      </c>
      <c r="H33" s="16"/>
    </row>
    <row r="34" spans="1:8" ht="15" customHeight="1" x14ac:dyDescent="0.15">
      <c r="A34" s="29"/>
      <c r="B34" s="30"/>
      <c r="C34" s="31" t="s">
        <v>3</v>
      </c>
      <c r="D34" s="7"/>
      <c r="E34" s="8" t="s">
        <v>3</v>
      </c>
      <c r="F34" s="9"/>
      <c r="G34" s="37">
        <f>SUM(G14:G33)</f>
        <v>602</v>
      </c>
      <c r="H34" s="25"/>
    </row>
    <row r="35" spans="1:8" ht="15" customHeight="1" x14ac:dyDescent="0.15">
      <c r="A35" s="32"/>
      <c r="B35" s="24"/>
      <c r="C35" s="33" t="s">
        <v>4</v>
      </c>
      <c r="D35" s="7"/>
      <c r="E35" s="8" t="s">
        <v>5</v>
      </c>
      <c r="F35" s="9"/>
      <c r="G35" s="56" t="str">
        <f>H14</f>
        <v>esente</v>
      </c>
      <c r="H35" s="40"/>
    </row>
    <row r="36" spans="1:8" ht="15" customHeight="1" x14ac:dyDescent="0.15">
      <c r="A36" s="34"/>
      <c r="B36" s="35"/>
      <c r="C36" s="36" t="s">
        <v>22</v>
      </c>
      <c r="D36" s="10"/>
      <c r="E36" s="11" t="s">
        <v>2</v>
      </c>
      <c r="F36" s="12"/>
      <c r="G36" s="39">
        <f>SUM(G34:G35)</f>
        <v>602</v>
      </c>
      <c r="H36" s="41"/>
    </row>
    <row r="37" spans="1:8" ht="13.5" customHeight="1" x14ac:dyDescent="0.15">
      <c r="A37" s="4"/>
      <c r="B37" s="4"/>
      <c r="C37" s="1"/>
      <c r="D37" s="5"/>
      <c r="E37" s="1"/>
      <c r="F37" s="1"/>
      <c r="G37" s="1"/>
      <c r="H37" s="1"/>
    </row>
    <row r="38" spans="1:8" ht="13.5" customHeight="1" x14ac:dyDescent="0.15">
      <c r="A38" s="4"/>
      <c r="B38" s="4"/>
    </row>
  </sheetData>
  <mergeCells count="18">
    <mergeCell ref="C28:F28"/>
    <mergeCell ref="C29:F29"/>
    <mergeCell ref="C30:F30"/>
    <mergeCell ref="A31:C31"/>
    <mergeCell ref="A32:F32"/>
    <mergeCell ref="C33:F33"/>
    <mergeCell ref="C15:F15"/>
    <mergeCell ref="C16:F16"/>
    <mergeCell ref="C17:F17"/>
    <mergeCell ref="C25:F25"/>
    <mergeCell ref="C26:F26"/>
    <mergeCell ref="C27:F27"/>
    <mergeCell ref="A1:H1"/>
    <mergeCell ref="A2:H2"/>
    <mergeCell ref="A3:H3"/>
    <mergeCell ref="A4:H4"/>
    <mergeCell ref="C13:F13"/>
    <mergeCell ref="C14:F14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DA887-E658-9E4D-AF8F-3298287F2710}">
  <sheetPr codeName="Foglio5"/>
  <dimension ref="A1"/>
  <sheetViews>
    <sheetView workbookViewId="0"/>
  </sheetViews>
  <sheetFormatPr baseColWidth="10" defaultRowHeight="13" x14ac:dyDescent="0.15"/>
  <cols>
    <col min="1" max="256" width="8.83203125" customWidth="1"/>
  </cols>
  <sheetData/>
  <phoneticPr fontId="0" type="noConversion"/>
  <printOptions gridLines="1" gridLinesSet="0"/>
  <pageMargins left="0.75" right="0.75" top="1" bottom="1" header="0.5" footer="0.5"/>
  <pageSetup paperSize="9" orientation="portrait"/>
  <headerFooter alignWithMargins="0">
    <oddHeader>&amp;A</oddHeader>
    <oddFooter>Pagina &amp;P</oddFooter>
  </headerFooter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74447-5FFA-4E41-A3B7-B5983D6EC292}">
  <sheetPr codeName="Foglio6"/>
  <dimension ref="A1"/>
  <sheetViews>
    <sheetView workbookViewId="0"/>
  </sheetViews>
  <sheetFormatPr baseColWidth="10" defaultRowHeight="13" x14ac:dyDescent="0.15"/>
  <cols>
    <col min="1" max="256" width="8.83203125" customWidth="1"/>
  </cols>
  <sheetData/>
  <phoneticPr fontId="0" type="noConversion"/>
  <printOptions gridLines="1" gridLinesSet="0"/>
  <pageMargins left="0.75" right="0.75" top="1" bottom="1" header="0.5" footer="0.5"/>
  <pageSetup paperSize="9" orientation="portrait"/>
  <headerFooter alignWithMargins="0">
    <oddHeader>&amp;A</oddHeader>
    <oddFooter>Pagina &amp;P</oddFooter>
  </headerFooter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24E9B-1974-1F49-8361-0110CE834241}">
  <sheetPr codeName="Foglio7"/>
  <dimension ref="A1"/>
  <sheetViews>
    <sheetView workbookViewId="0"/>
  </sheetViews>
  <sheetFormatPr baseColWidth="10" defaultRowHeight="13" x14ac:dyDescent="0.15"/>
  <cols>
    <col min="1" max="256" width="8.83203125" customWidth="1"/>
  </cols>
  <sheetData/>
  <phoneticPr fontId="0" type="noConversion"/>
  <printOptions gridLines="1" gridLinesSet="0"/>
  <pageMargins left="0.75" right="0.75" top="1" bottom="1" header="0.5" footer="0.5"/>
  <pageSetup paperSize="9" orientation="portrait"/>
  <headerFooter alignWithMargins="0">
    <oddHeader>&amp;A</oddHeader>
    <oddFooter>Pagina &amp;P</oddFooter>
  </headerFooter>
</worksheet>
</file>

<file path=xl/worksheets/sheet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F01FE-5F58-C54F-AEDA-68F037CBA089}">
  <sheetPr codeName="Foglio8"/>
  <dimension ref="A1"/>
  <sheetViews>
    <sheetView workbookViewId="0"/>
  </sheetViews>
  <sheetFormatPr baseColWidth="10" defaultRowHeight="13" x14ac:dyDescent="0.15"/>
  <cols>
    <col min="1" max="256" width="8.83203125" customWidth="1"/>
  </cols>
  <sheetData/>
  <phoneticPr fontId="0" type="noConversion"/>
  <printOptions gridLines="1" gridLinesSet="0"/>
  <pageMargins left="0.75" right="0.75" top="1" bottom="1" header="0.5" footer="0.5"/>
  <pageSetup paperSize="9" orientation="portrait"/>
  <headerFooter alignWithMargins="0">
    <oddHeader>&amp;A</oddHeader>
    <oddFooter>Pagina &amp;P</oddFooter>
  </headerFooter>
</worksheet>
</file>

<file path=xl/worksheets/sheet1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1E7B5-98FB-8248-B960-8CB3CBBC8F9E}">
  <sheetPr codeName="Foglio9"/>
  <dimension ref="A1"/>
  <sheetViews>
    <sheetView workbookViewId="0"/>
  </sheetViews>
  <sheetFormatPr baseColWidth="10" defaultRowHeight="13" x14ac:dyDescent="0.15"/>
  <cols>
    <col min="1" max="256" width="8.83203125" customWidth="1"/>
  </cols>
  <sheetData/>
  <phoneticPr fontId="0" type="noConversion"/>
  <printOptions gridLines="1" gridLinesSet="0"/>
  <pageMargins left="0.75" right="0.75" top="1" bottom="1" header="0.5" footer="0.5"/>
  <pageSetup paperSize="9" orientation="portrait"/>
  <headerFooter alignWithMargins="0">
    <oddHeader>&amp;A</oddHeader>
    <oddFooter>Pagina &amp;P</oddFooter>
  </headerFooter>
</worksheet>
</file>

<file path=xl/worksheets/sheet1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FBACF-57CD-DF43-8206-DB7F92051E09}">
  <sheetPr codeName="Foglio10"/>
  <dimension ref="A1"/>
  <sheetViews>
    <sheetView workbookViewId="0"/>
  </sheetViews>
  <sheetFormatPr baseColWidth="10" defaultRowHeight="13" x14ac:dyDescent="0.15"/>
  <cols>
    <col min="1" max="256" width="8.83203125" customWidth="1"/>
  </cols>
  <sheetData/>
  <phoneticPr fontId="0" type="noConversion"/>
  <printOptions gridLines="1" gridLinesSet="0"/>
  <pageMargins left="0.75" right="0.75" top="1" bottom="1" header="0.5" footer="0.5"/>
  <pageSetup paperSize="9" orientation="portrait"/>
  <headerFooter alignWithMargins="0">
    <oddHeader>&amp;A</oddHeader>
    <oddFooter>Pagina &amp;P</oddFooter>
  </headerFooter>
</worksheet>
</file>

<file path=xl/worksheets/sheet1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25CF4-ED93-5948-869D-C0D200D87994}">
  <sheetPr codeName="Foglio11"/>
  <dimension ref="A1"/>
  <sheetViews>
    <sheetView workbookViewId="0"/>
  </sheetViews>
  <sheetFormatPr baseColWidth="10" defaultRowHeight="13" x14ac:dyDescent="0.15"/>
  <cols>
    <col min="1" max="256" width="8.83203125" customWidth="1"/>
  </cols>
  <sheetData/>
  <phoneticPr fontId="0" type="noConversion"/>
  <printOptions gridLines="1" gridLinesSet="0"/>
  <pageMargins left="0.75" right="0.75" top="1" bottom="1" header="0.5" footer="0.5"/>
  <pageSetup paperSize="9" orientation="portrait"/>
  <headerFooter alignWithMargins="0">
    <oddHeader>&amp;A</oddHeader>
    <oddFooter>Pagina &amp;P</oddFooter>
  </headerFooter>
</worksheet>
</file>

<file path=xl/worksheets/sheet1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4C8D3-E84D-7F40-A1AC-A19BE5DF2DCE}">
  <sheetPr codeName="Foglio12"/>
  <dimension ref="A1"/>
  <sheetViews>
    <sheetView workbookViewId="0"/>
  </sheetViews>
  <sheetFormatPr baseColWidth="10" defaultRowHeight="13" x14ac:dyDescent="0.15"/>
  <cols>
    <col min="1" max="256" width="8.83203125" customWidth="1"/>
  </cols>
  <sheetData/>
  <phoneticPr fontId="0" type="noConversion"/>
  <printOptions gridLines="1" gridLinesSet="0"/>
  <pageMargins left="0.75" right="0.75" top="1" bottom="1" header="0.5" footer="0.5"/>
  <pageSetup paperSize="9" orientation="portrait"/>
  <headerFooter alignWithMargins="0">
    <oddHeader>&amp;A</oddHeader>
    <oddFooter>Pagina &amp;P</oddFooter>
  </headerFooter>
</worksheet>
</file>

<file path=xl/worksheets/sheet1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DFE8F-DA69-DA4C-B08D-DF200BBF8FCC}">
  <sheetPr codeName="Foglio13"/>
  <dimension ref="A1"/>
  <sheetViews>
    <sheetView workbookViewId="0"/>
  </sheetViews>
  <sheetFormatPr baseColWidth="10" defaultRowHeight="13" x14ac:dyDescent="0.15"/>
  <cols>
    <col min="1" max="256" width="8.83203125" customWidth="1"/>
  </cols>
  <sheetData/>
  <phoneticPr fontId="0" type="noConversion"/>
  <printOptions gridLines="1" gridLinesSet="0"/>
  <pageMargins left="0.75" right="0.75" top="1" bottom="1" header="0.5" footer="0.5"/>
  <pageSetup paperSize="9" orientation="portrait"/>
  <headerFooter alignWithMargins="0">
    <oddHeader>&amp;A</oddHeader>
    <oddFooter>Pagina &amp;P</oddFooter>
  </headerFooter>
</worksheet>
</file>

<file path=xl/worksheets/sheet1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1E377-334A-3C43-B4A6-D7C2B0C5E88E}">
  <sheetPr codeName="Foglio14"/>
  <dimension ref="A1"/>
  <sheetViews>
    <sheetView workbookViewId="0"/>
  </sheetViews>
  <sheetFormatPr baseColWidth="10" defaultRowHeight="13" x14ac:dyDescent="0.15"/>
  <cols>
    <col min="1" max="256" width="8.83203125" customWidth="1"/>
  </cols>
  <sheetData/>
  <phoneticPr fontId="0" type="noConversion"/>
  <printOptions gridLines="1" gridLinesSet="0"/>
  <pageMargins left="0.75" right="0.75" top="1" bottom="1" header="0.5" footer="0.5"/>
  <pageSetup paperSize="9" orientation="portrait"/>
  <headerFooter alignWithMargins="0">
    <oddHeader>&amp;A</oddHeader>
    <oddFooter>Pagina &amp;P</oddFooter>
  </headerFooter>
</worksheet>
</file>

<file path=xl/worksheets/sheet1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43FF9-7FDC-4F45-9346-1B149839D86F}">
  <sheetPr codeName="Foglio15"/>
  <dimension ref="A1"/>
  <sheetViews>
    <sheetView workbookViewId="0"/>
  </sheetViews>
  <sheetFormatPr baseColWidth="10" defaultRowHeight="13" x14ac:dyDescent="0.15"/>
  <cols>
    <col min="1" max="256" width="8.83203125" customWidth="1"/>
  </cols>
  <sheetData/>
  <phoneticPr fontId="0" type="noConversion"/>
  <printOptions gridLines="1" gridLinesSet="0"/>
  <pageMargins left="0.75" right="0.75" top="1" bottom="1" header="0.5" footer="0.5"/>
  <pageSetup paperSize="9" orientation="portrait"/>
  <headerFooter alignWithMargins="0">
    <oddHeader>&amp;A</oddHeader>
    <oddFooter>Pagina &amp;P</oddFooter>
  </headerFooter>
</worksheet>
</file>

<file path=xl/worksheets/sheet1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CDDE7-C53E-1A4E-A5C8-82B3B2DE7752}">
  <sheetPr codeName="Foglio16"/>
  <dimension ref="A1"/>
  <sheetViews>
    <sheetView workbookViewId="0"/>
  </sheetViews>
  <sheetFormatPr baseColWidth="10" defaultRowHeight="13" x14ac:dyDescent="0.15"/>
  <cols>
    <col min="1" max="256" width="8.83203125" customWidth="1"/>
  </cols>
  <sheetData/>
  <phoneticPr fontId="0" type="noConversion"/>
  <printOptions gridLines="1" gridLinesSet="0"/>
  <pageMargins left="0.75" right="0.75" top="1" bottom="1" header="0.5" footer="0.5"/>
  <pageSetup paperSize="9" orientation="portrait"/>
  <headerFooter alignWithMargins="0">
    <oddHeader>&amp;A</oddHeader>
    <oddFooter>Pagina &amp;P</oddFooter>
  </headerFooter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17</vt:i4>
      </vt:variant>
    </vt:vector>
  </HeadingPairs>
  <TitlesOfParts>
    <vt:vector size="17" baseType="lpstr">
      <vt:lpstr>fattura 4</vt:lpstr>
      <vt:lpstr>fattura 14</vt:lpstr>
      <vt:lpstr>fattura 23</vt:lpstr>
      <vt:lpstr>fattura 341 (2)</vt:lpstr>
      <vt:lpstr>fattura 41</vt:lpstr>
      <vt:lpstr>Foglio5</vt:lpstr>
      <vt:lpstr>Foglio6</vt:lpstr>
      <vt:lpstr>Foglio7</vt:lpstr>
      <vt:lpstr>Foglio8</vt:lpstr>
      <vt:lpstr>Foglio9</vt:lpstr>
      <vt:lpstr>Foglio10</vt:lpstr>
      <vt:lpstr>Foglio11</vt:lpstr>
      <vt:lpstr>Foglio12</vt:lpstr>
      <vt:lpstr>Foglio13</vt:lpstr>
      <vt:lpstr>Foglio14</vt:lpstr>
      <vt:lpstr>Foglio15</vt:lpstr>
      <vt:lpstr>Foglio16</vt:lpstr>
    </vt:vector>
  </TitlesOfParts>
  <Company>Danea 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Modello fattura in Excel</dc:title>
  <dc:subject>Fac simile fattura</dc:subject>
  <dc:creator>Danea</dc:creator>
  <cp:keywords>fattura</cp:keywords>
  <dc:description>www.danea.it</dc:description>
  <cp:lastModifiedBy>Mauro Reielli</cp:lastModifiedBy>
  <cp:lastPrinted>2026-01-28T14:46:57Z</cp:lastPrinted>
  <dcterms:created xsi:type="dcterms:W3CDTF">2003-04-23T08:59:25Z</dcterms:created>
  <dcterms:modified xsi:type="dcterms:W3CDTF">2026-09-30T20:17:08Z</dcterms:modified>
  <cp:category>Fatturazione</cp:category>
</cp:coreProperties>
</file>