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mauroreielli/Downloads/"/>
    </mc:Choice>
  </mc:AlternateContent>
  <xr:revisionPtr revIDLastSave="0" documentId="8_{0B98DBA3-8F14-534A-8891-10ED7FFAF8F1}" xr6:coauthVersionLast="47" xr6:coauthVersionMax="47" xr10:uidLastSave="{00000000-0000-0000-0000-000000000000}"/>
  <bookViews>
    <workbookView xWindow="0" yWindow="660" windowWidth="29400" windowHeight="17400" tabRatio="383" activeTab="4" xr2:uid="{D63D0969-9183-4642-94BA-6AA319A6C1C9}"/>
  </bookViews>
  <sheets>
    <sheet name="fattura 4" sheetId="18" r:id="rId1"/>
    <sheet name="fattura 14" sheetId="19" r:id="rId2"/>
    <sheet name="fattura 23" sheetId="21" r:id="rId3"/>
    <sheet name="fattura 341 (2)" sheetId="22" r:id="rId4"/>
    <sheet name="fattura 41" sheetId="20" r:id="rId5"/>
    <sheet name="Foglio5" sheetId="5" r:id="rId6"/>
    <sheet name="Foglio6" sheetId="6" r:id="rId7"/>
    <sheet name="Foglio7" sheetId="7" r:id="rId8"/>
    <sheet name="Foglio8" sheetId="8" r:id="rId9"/>
    <sheet name="Foglio9" sheetId="9" r:id="rId10"/>
    <sheet name="Foglio10" sheetId="10" r:id="rId11"/>
    <sheet name="Foglio11" sheetId="11" r:id="rId12"/>
    <sheet name="Foglio12" sheetId="12" r:id="rId13"/>
    <sheet name="Foglio13" sheetId="13" r:id="rId14"/>
    <sheet name="Foglio14" sheetId="14" r:id="rId15"/>
    <sheet name="Foglio15" sheetId="15" r:id="rId16"/>
    <sheet name="Foglio16" sheetId="16" r:id="rId17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0" l="1"/>
  <c r="H19" i="20" s="1"/>
  <c r="G20" i="20"/>
  <c r="H20" i="20" s="1"/>
  <c r="G21" i="20"/>
  <c r="H21" i="20" s="1"/>
  <c r="G35" i="22"/>
  <c r="G18" i="22"/>
  <c r="G17" i="22"/>
  <c r="G16" i="22"/>
  <c r="G15" i="22"/>
  <c r="H15" i="22" s="1"/>
  <c r="G14" i="22"/>
  <c r="G34" i="22" s="1"/>
  <c r="G36" i="22" s="1"/>
  <c r="G14" i="20"/>
  <c r="G34" i="20" s="1"/>
  <c r="G36" i="20" s="1"/>
  <c r="G15" i="20"/>
  <c r="H15" i="20" s="1"/>
  <c r="G16" i="20"/>
  <c r="H16" i="20" s="1"/>
  <c r="G17" i="20"/>
  <c r="H17" i="20" s="1"/>
  <c r="G18" i="20"/>
  <c r="H18" i="20"/>
  <c r="G35" i="20"/>
  <c r="G14" i="21"/>
  <c r="G34" i="21" s="1"/>
  <c r="G36" i="21" s="1"/>
  <c r="G15" i="21"/>
  <c r="H15" i="21" s="1"/>
  <c r="G16" i="21"/>
  <c r="H16" i="21" s="1"/>
  <c r="G17" i="21"/>
  <c r="H17" i="21"/>
  <c r="G18" i="21"/>
  <c r="H18" i="21"/>
  <c r="G19" i="21"/>
  <c r="H19" i="21"/>
  <c r="G20" i="21"/>
  <c r="H20" i="21" s="1"/>
  <c r="G35" i="21"/>
  <c r="G14" i="19"/>
  <c r="G15" i="19"/>
  <c r="H15" i="19"/>
  <c r="G16" i="19"/>
  <c r="H16" i="19"/>
  <c r="G17" i="19"/>
  <c r="H17" i="19" s="1"/>
  <c r="G18" i="19"/>
  <c r="H18" i="19" s="1"/>
  <c r="G19" i="19"/>
  <c r="H19" i="19"/>
  <c r="G20" i="19"/>
  <c r="H20" i="19"/>
  <c r="G35" i="19"/>
  <c r="G14" i="18"/>
  <c r="G15" i="18"/>
  <c r="H15" i="18" s="1"/>
  <c r="G16" i="18"/>
  <c r="H16" i="18"/>
  <c r="G17" i="18"/>
  <c r="G34" i="18" s="1"/>
  <c r="G36" i="18" s="1"/>
  <c r="H17" i="18"/>
  <c r="G18" i="18"/>
  <c r="H18" i="18"/>
  <c r="G19" i="18"/>
  <c r="H19" i="18" s="1"/>
  <c r="G20" i="18"/>
  <c r="H20" i="18" s="1"/>
  <c r="G35" i="18"/>
  <c r="H18" i="22"/>
  <c r="H17" i="22"/>
  <c r="H16" i="22"/>
  <c r="G34" i="19" l="1"/>
  <c r="G36" i="19" s="1"/>
</calcChain>
</file>

<file path=xl/sharedStrings.xml><?xml version="1.0" encoding="utf-8"?>
<sst xmlns="http://schemas.openxmlformats.org/spreadsheetml/2006/main" count="174" uniqueCount="31">
  <si>
    <t>Descrizione</t>
  </si>
  <si>
    <t>Importo</t>
  </si>
  <si>
    <t>TOTALE FATTURA</t>
  </si>
  <si>
    <t>Imponibile</t>
  </si>
  <si>
    <t>Iva</t>
  </si>
  <si>
    <t>Iva esente</t>
  </si>
  <si>
    <t xml:space="preserve">Via Claudio Guerdile, 10 </t>
  </si>
  <si>
    <t xml:space="preserve">Tel. 3482348896  E-mail reiellim@gmail.com </t>
  </si>
  <si>
    <t>Partita Iva 06268110654</t>
  </si>
  <si>
    <t>dr. Mauro Reielli</t>
  </si>
  <si>
    <t>Arienzo Maria</t>
  </si>
  <si>
    <t>Bollo</t>
  </si>
  <si>
    <t>Cliente</t>
  </si>
  <si>
    <t>Fattura n</t>
  </si>
  <si>
    <t>del</t>
  </si>
  <si>
    <t>ai sensi dell’art. 10, c. 1, n. 18) D.P.R. 633/72”</t>
  </si>
  <si>
    <t xml:space="preserve">La presente fattura è esente dall’Imposta sul Valore aggiunto </t>
  </si>
  <si>
    <t>ARIENZO MARIA</t>
  </si>
  <si>
    <t>RNZMRA37D56G426H</t>
  </si>
  <si>
    <t>Via G. Amendola, 17</t>
  </si>
  <si>
    <t>Salerno</t>
  </si>
  <si>
    <t>Pratica HCP 02500058165</t>
  </si>
  <si>
    <t>Totale fattura</t>
  </si>
  <si>
    <t>data</t>
  </si>
  <si>
    <t>Seduta fisioterapia</t>
  </si>
  <si>
    <t>esente</t>
  </si>
  <si>
    <t>4/HCP</t>
  </si>
  <si>
    <t>14/HCP</t>
  </si>
  <si>
    <t>23/HCP</t>
  </si>
  <si>
    <t>341/HCP</t>
  </si>
  <si>
    <t>41/HCP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</si>
</sst>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_-&quot;L.&quot;\ * #,##0.00_-;\-&quot;L.&quot;\ * #,##0.00_-;_-&quot;L.&quot;\ * &quot;-&quot;??_-;_-@_-"/>
    <numFmt numFmtId="182" formatCode="_-[$€-410]\ * #,##0.00_-;\-[$€-410]\ * #,##0.00_-;_-[$€-410]\ * &quot;-&quot;??_-;_-@_-"/>
  </numFmts>
  <fonts count="11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4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75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14" fontId="2" fillId="0" borderId="0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5" fillId="2" borderId="0" xfId="0" applyFont="1" applyFill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39" fontId="2" fillId="0" borderId="1" xfId="0" applyNumberFormat="1" applyFont="1" applyBorder="1" applyAlignment="1" applyProtection="1">
      <alignment vertical="center"/>
    </xf>
    <xf numFmtId="9" fontId="2" fillId="0" borderId="1" xfId="1" applyFont="1" applyBorder="1" applyAlignment="1" applyProtection="1">
      <alignment vertical="center"/>
      <protection locked="0"/>
    </xf>
    <xf numFmtId="9" fontId="2" fillId="0" borderId="1" xfId="1" applyFont="1" applyBorder="1" applyAlignment="1" applyProtection="1">
      <alignment vertical="center"/>
    </xf>
    <xf numFmtId="0" fontId="9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right" vertical="center"/>
      <protection locked="0"/>
    </xf>
    <xf numFmtId="0" fontId="2" fillId="0" borderId="6" xfId="0" applyFont="1" applyBorder="1" applyAlignment="1" applyProtection="1">
      <alignment horizontal="right" vertical="center"/>
      <protection locked="0"/>
    </xf>
    <xf numFmtId="0" fontId="2" fillId="0" borderId="8" xfId="0" applyFont="1" applyBorder="1" applyAlignment="1" applyProtection="1">
      <alignment horizontal="right" vertical="center"/>
      <protection locked="0"/>
    </xf>
    <xf numFmtId="0" fontId="2" fillId="0" borderId="9" xfId="0" applyFont="1" applyBorder="1" applyAlignment="1" applyProtection="1">
      <alignment horizontal="right"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Alignment="1" applyProtection="1">
      <alignment horizontal="right" vertical="center"/>
      <protection locked="0"/>
    </xf>
    <xf numFmtId="4" fontId="2" fillId="0" borderId="7" xfId="0" applyNumberFormat="1" applyFont="1" applyBorder="1" applyAlignment="1" applyProtection="1">
      <alignment vertical="center"/>
    </xf>
    <xf numFmtId="4" fontId="2" fillId="0" borderId="8" xfId="0" applyNumberFormat="1" applyFont="1" applyBorder="1" applyAlignment="1" applyProtection="1">
      <alignment vertical="center"/>
    </xf>
    <xf numFmtId="182" fontId="8" fillId="3" borderId="13" xfId="2" applyNumberFormat="1" applyFont="1" applyFill="1" applyBorder="1" applyAlignment="1" applyProtection="1">
      <alignment vertical="center"/>
    </xf>
    <xf numFmtId="0" fontId="2" fillId="0" borderId="14" xfId="0" applyFont="1" applyBorder="1" applyAlignment="1" applyProtection="1">
      <alignment vertical="center"/>
      <protection locked="0"/>
    </xf>
    <xf numFmtId="0" fontId="8" fillId="0" borderId="4" xfId="0" applyFont="1" applyBorder="1" applyAlignment="1" applyProtection="1">
      <alignment vertical="center"/>
      <protection locked="0"/>
    </xf>
    <xf numFmtId="14" fontId="2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" fontId="2" fillId="0" borderId="8" xfId="0" applyNumberFormat="1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4CF6-CDAF-8545-ADDE-38AF76D5984A}"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26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2026-01-31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22"/>
      <c r="B13" s="22" t="s">
        <v>23</v>
      </c>
      <c r="C13" s="73" t="s">
        <v>0</v>
      </c>
      <c r="D13" s="73"/>
      <c r="E13" s="73"/>
      <c r="F13" s="73"/>
      <c r="G13" s="22" t="s">
        <v>1</v>
      </c>
      <c r="H13" s="22" t="s">
        <v>4</v>
      </c>
    </row>
    <row r="14" spans="1:8" ht="15" customHeight="1" x14ac:dyDescent="0.15">
      <c r="A14" s="48">
        <v>1.5</v>
      </c>
      <c r="B14" s="42" t="d">
        <v>2026-01-09</v>
      </c>
      <c r="C14" s="74" t="s">
        <v>24</v>
      </c>
      <c r="D14" s="74"/>
      <c r="E14" s="74"/>
      <c r="F14" s="74"/>
      <c r="G14" s="14">
        <f t="shared" ref="G14:G20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2026-01-13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0" si="1">IF(G15,H$14,0)</f>
        <v>esente</v>
      </c>
    </row>
    <row r="16" spans="1:8" ht="15" customHeight="1" x14ac:dyDescent="0.15">
      <c r="A16" s="48">
        <v>1.5</v>
      </c>
      <c r="B16" s="42" t="d">
        <v>2026-01-16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2026-01-20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2026-01-23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2026-01-27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2026-01-30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527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38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527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A1:H1"/>
    <mergeCell ref="A2:H2"/>
    <mergeCell ref="A3:H3"/>
    <mergeCell ref="A4:H4"/>
    <mergeCell ref="C13:F13"/>
    <mergeCell ref="C14:F14"/>
    <mergeCell ref="C15:F15"/>
    <mergeCell ref="C16:F16"/>
    <mergeCell ref="C17:F17"/>
    <mergeCell ref="C25:F25"/>
    <mergeCell ref="C26:F26"/>
    <mergeCell ref="C27:F27"/>
    <mergeCell ref="C33:F33"/>
    <mergeCell ref="A31:C31"/>
    <mergeCell ref="A32:F32"/>
    <mergeCell ref="C28:F28"/>
    <mergeCell ref="C29:F29"/>
    <mergeCell ref="C30:F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35E2-B79C-C44E-A34F-D953C0EABDA0}">
  <dimension ref="A1:H38"/>
  <sheetViews>
    <sheetView topLeftCell="A4" workbookViewId="0">
      <selection activeCell="M22" sqref="M22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27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2026-02-28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2"/>
      <c r="B13" s="52" t="s">
        <v>23</v>
      </c>
      <c r="C13" s="73" t="s">
        <v>0</v>
      </c>
      <c r="D13" s="73"/>
      <c r="E13" s="73"/>
      <c r="F13" s="73"/>
      <c r="G13" s="52" t="s">
        <v>1</v>
      </c>
      <c r="H13" s="52" t="s">
        <v>4</v>
      </c>
    </row>
    <row r="14" spans="1:8" ht="15" customHeight="1" x14ac:dyDescent="0.15">
      <c r="A14" s="48">
        <v>1.5</v>
      </c>
      <c r="B14" s="42" t="d">
        <v>2026-02-03</v>
      </c>
      <c r="C14" s="74" t="s">
        <v>24</v>
      </c>
      <c r="D14" s="74"/>
      <c r="E14" s="74"/>
      <c r="F14" s="74"/>
      <c r="G14" s="14">
        <f t="shared" ref="G14:G20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2026-02-06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0" si="1">IF(G15,H$14,0)</f>
        <v>esente</v>
      </c>
    </row>
    <row r="16" spans="1:8" ht="15" customHeight="1" x14ac:dyDescent="0.15">
      <c r="A16" s="48">
        <v>1.5</v>
      </c>
      <c r="B16" s="42" t="d">
        <v>2026-02-10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2026-02-13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2026-02-20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2026-02-24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2026-02-27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527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38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527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A1:H1"/>
    <mergeCell ref="A2:H2"/>
    <mergeCell ref="A3:H3"/>
    <mergeCell ref="A4:H4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30:F30"/>
    <mergeCell ref="A31:C31"/>
    <mergeCell ref="A32:F32"/>
    <mergeCell ref="C33:F3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C841-E8B8-244F-A8E2-A3F7429F532F}">
  <dimension ref="A1:H38"/>
  <sheetViews>
    <sheetView topLeftCell="A10" workbookViewId="0">
      <selection activeCell="Q24" sqref="Q24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28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2026-03-31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4"/>
      <c r="B13" s="54" t="s">
        <v>23</v>
      </c>
      <c r="C13" s="73" t="s">
        <v>0</v>
      </c>
      <c r="D13" s="73"/>
      <c r="E13" s="73"/>
      <c r="F13" s="73"/>
      <c r="G13" s="54" t="s">
        <v>1</v>
      </c>
      <c r="H13" s="54" t="s">
        <v>4</v>
      </c>
    </row>
    <row r="14" spans="1:8" ht="15" customHeight="1" x14ac:dyDescent="0.15">
      <c r="A14" s="48">
        <v>1.5</v>
      </c>
      <c r="B14" s="42" t="d">
        <v>2026-03-10</v>
      </c>
      <c r="C14" s="74" t="s">
        <v>24</v>
      </c>
      <c r="D14" s="74"/>
      <c r="E14" s="74"/>
      <c r="F14" s="74"/>
      <c r="G14" s="14">
        <f t="shared" ref="G14:G20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2026-03-13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0" si="1">IF(G15,H$14,0)</f>
        <v>esente</v>
      </c>
    </row>
    <row r="16" spans="1:8" ht="15" customHeight="1" x14ac:dyDescent="0.15">
      <c r="A16" s="48">
        <v>1.5</v>
      </c>
      <c r="B16" s="42" t="d">
        <v>2026-03-17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2026-03-20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2026-03-24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2026-03-27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2026-03-31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527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38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527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C28:F28"/>
    <mergeCell ref="C29:F29"/>
    <mergeCell ref="C30:F30"/>
    <mergeCell ref="A31:C31"/>
    <mergeCell ref="A32:F32"/>
    <mergeCell ref="C33:F33"/>
    <mergeCell ref="C15:F15"/>
    <mergeCell ref="C16:F16"/>
    <mergeCell ref="C17:F17"/>
    <mergeCell ref="C25:F25"/>
    <mergeCell ref="C26:F26"/>
    <mergeCell ref="C27:F27"/>
    <mergeCell ref="A1:H1"/>
    <mergeCell ref="A2:H2"/>
    <mergeCell ref="A3:H3"/>
    <mergeCell ref="A4:H4"/>
    <mergeCell ref="C13:F13"/>
    <mergeCell ref="C14:F1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9C0B-2AD8-5941-9F81-47AC43733605}">
  <dimension ref="A1:H38"/>
  <sheetViews>
    <sheetView topLeftCell="A4" workbookViewId="0">
      <selection activeCell="G35" sqref="G35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29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2026-04-30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5"/>
      <c r="B13" s="55" t="s">
        <v>23</v>
      </c>
      <c r="C13" s="73" t="s">
        <v>0</v>
      </c>
      <c r="D13" s="73"/>
      <c r="E13" s="73"/>
      <c r="F13" s="73"/>
      <c r="G13" s="55" t="s">
        <v>1</v>
      </c>
      <c r="H13" s="55" t="s">
        <v>4</v>
      </c>
    </row>
    <row r="14" spans="1:8" ht="15" customHeight="1" x14ac:dyDescent="0.15">
      <c r="A14" s="48">
        <v>1.5</v>
      </c>
      <c r="B14" s="42" t="d">
        <v>2026-04-10</v>
      </c>
      <c r="C14" s="74" t="s">
        <v>24</v>
      </c>
      <c r="D14" s="74"/>
      <c r="E14" s="74"/>
      <c r="F14" s="74"/>
      <c r="G14" s="14">
        <f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2026-04-14</v>
      </c>
      <c r="C15" s="66" t="s">
        <v>24</v>
      </c>
      <c r="D15" s="66"/>
      <c r="E15" s="66"/>
      <c r="F15" s="66"/>
      <c r="G15" s="14">
        <f>SUM(A15*50)</f>
        <v>75</v>
      </c>
      <c r="H15" s="16" t="str">
        <f>IF(G15,H$14,0)</f>
        <v>esente</v>
      </c>
    </row>
    <row r="16" spans="1:8" ht="15" customHeight="1" x14ac:dyDescent="0.15">
      <c r="A16" s="48">
        <v>1.5</v>
      </c>
      <c r="B16" s="42" t="d">
        <v>2026-04-17</v>
      </c>
      <c r="C16" s="66" t="s">
        <v>24</v>
      </c>
      <c r="D16" s="66"/>
      <c r="E16" s="66"/>
      <c r="F16" s="66"/>
      <c r="G16" s="14">
        <f>SUM(A16*50)</f>
        <v>75</v>
      </c>
      <c r="H16" s="16" t="str">
        <f>IF(G16,H$14,0)</f>
        <v>esente</v>
      </c>
    </row>
    <row r="17" spans="1:8" ht="15" customHeight="1" x14ac:dyDescent="0.15">
      <c r="A17" s="48">
        <v>1.5</v>
      </c>
      <c r="B17" s="42" t="d">
        <v>2026-04-21</v>
      </c>
      <c r="C17" s="66" t="s">
        <v>24</v>
      </c>
      <c r="D17" s="66"/>
      <c r="E17" s="66"/>
      <c r="F17" s="66"/>
      <c r="G17" s="14">
        <f>SUM(A17*50)</f>
        <v>75</v>
      </c>
      <c r="H17" s="16" t="str">
        <f>IF(G17,H$14,0)</f>
        <v>esente</v>
      </c>
    </row>
    <row r="18" spans="1:8" ht="15" customHeight="1" x14ac:dyDescent="0.15">
      <c r="A18" s="48">
        <v>1.5</v>
      </c>
      <c r="B18" s="42" t="d">
        <v>2026-04-24</v>
      </c>
      <c r="C18" s="49" t="s">
        <v>24</v>
      </c>
      <c r="D18" s="50"/>
      <c r="E18" s="50"/>
      <c r="F18" s="51"/>
      <c r="G18" s="14">
        <f>SUM(A18*50)</f>
        <v>75</v>
      </c>
      <c r="H18" s="16" t="str">
        <f>IF(G18,H$14,0)</f>
        <v>esente</v>
      </c>
    </row>
    <row r="19" spans="1:8" ht="15" customHeight="1" x14ac:dyDescent="0.15">
      <c r="A19" s="48">
        <v>1.5</v>
      </c>
      <c r="B19" s="42"/>
      <c r="C19" s="49"/>
      <c r="D19" s="50"/>
      <c r="E19" s="50"/>
      <c r="F19" s="51"/>
      <c r="G19" s="14"/>
      <c r="H19" s="16"/>
    </row>
    <row r="20" spans="1:8" ht="15" customHeight="1" x14ac:dyDescent="0.15">
      <c r="A20" s="48">
        <v>1.5</v>
      </c>
      <c r="B20" s="42"/>
      <c r="C20" s="49"/>
      <c r="D20" s="50"/>
      <c r="E20" s="50"/>
      <c r="F20" s="51"/>
      <c r="G20" s="14"/>
      <c r="H20" s="16"/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377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56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377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A1:H1"/>
    <mergeCell ref="A2:H2"/>
    <mergeCell ref="A3:H3"/>
    <mergeCell ref="A4:H4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30:F30"/>
    <mergeCell ref="A31:C31"/>
    <mergeCell ref="A32:F32"/>
    <mergeCell ref="C33:F33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B7FC-9A80-D041-9130-8D02D655E7D9}">
  <dimension ref="A1:H38"/>
  <sheetViews>
    <sheetView tabSelected="1" topLeftCell="A13" workbookViewId="0">
      <selection activeCell="B8" sqref="B8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30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2026-05-31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3"/>
      <c r="B13" s="53" t="s">
        <v>23</v>
      </c>
      <c r="C13" s="73" t="s">
        <v>0</v>
      </c>
      <c r="D13" s="73"/>
      <c r="E13" s="73"/>
      <c r="F13" s="73"/>
      <c r="G13" s="53" t="s">
        <v>1</v>
      </c>
      <c r="H13" s="53" t="s">
        <v>4</v>
      </c>
    </row>
    <row r="14" spans="1:8" ht="15" customHeight="1" x14ac:dyDescent="0.15">
      <c r="A14" s="48">
        <v>1.5</v>
      </c>
      <c r="B14" s="42" t="d">
        <v>2026-05-05</v>
      </c>
      <c r="C14" s="74" t="s">
        <v>24</v>
      </c>
      <c r="D14" s="74"/>
      <c r="E14" s="74"/>
      <c r="F14" s="74"/>
      <c r="G14" s="14">
        <f t="shared" ref="G14:G21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2026-05-06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1" si="1">IF(G15,H$14,0)</f>
        <v>esente</v>
      </c>
    </row>
    <row r="16" spans="1:8" ht="15" customHeight="1" x14ac:dyDescent="0.15">
      <c r="A16" s="48">
        <v>1.5</v>
      </c>
      <c r="B16" s="42" t="d">
        <v>2026-05-12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2026-05-14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2026-05-15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2026-05-19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2026-05-22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 t="d">
        <v>2026-05-29</v>
      </c>
      <c r="C21" s="49" t="s">
        <v>24</v>
      </c>
      <c r="D21" s="50"/>
      <c r="E21" s="50"/>
      <c r="F21" s="51"/>
      <c r="G21" s="14">
        <f t="shared" si="0"/>
        <v>75</v>
      </c>
      <c r="H21" s="16" t="str">
        <f t="shared" si="1"/>
        <v>esente</v>
      </c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602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56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602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C28:F28"/>
    <mergeCell ref="C29:F29"/>
    <mergeCell ref="C30:F30"/>
    <mergeCell ref="A31:C31"/>
    <mergeCell ref="A32:F32"/>
    <mergeCell ref="C33:F33"/>
    <mergeCell ref="C15:F15"/>
    <mergeCell ref="C16:F16"/>
    <mergeCell ref="C17:F17"/>
    <mergeCell ref="C25:F25"/>
    <mergeCell ref="C26:F26"/>
    <mergeCell ref="C27:F27"/>
    <mergeCell ref="A1:H1"/>
    <mergeCell ref="A2:H2"/>
    <mergeCell ref="A3:H3"/>
    <mergeCell ref="A4:H4"/>
    <mergeCell ref="C13:F13"/>
    <mergeCell ref="C14:F14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A887-E658-9E4D-AF8F-3298287F2710}">
  <sheetPr codeName="Foglio5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4447-5FFA-4E41-A3B7-B5983D6EC292}">
  <sheetPr codeName="Foglio6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4E9B-1974-1F49-8361-0110CE834241}">
  <sheetPr codeName="Foglio7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01FE-5F58-C54F-AEDA-68F037CBA089}">
  <sheetPr codeName="Foglio8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E7B5-98FB-8248-B960-8CB3CBBC8F9E}">
  <sheetPr codeName="Foglio9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BACF-57CD-DF43-8206-DB7F92051E09}">
  <sheetPr codeName="Foglio10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5CF4-ED93-5948-869D-C0D200D87994}">
  <sheetPr codeName="Foglio11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C8D3-E84D-7F40-A1AC-A19BE5DF2DCE}">
  <sheetPr codeName="Foglio12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FE8F-DA69-DA4C-B08D-DF200BBF8FCC}">
  <sheetPr codeName="Foglio13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E377-334A-3C43-B4A6-D7C2B0C5E88E}">
  <sheetPr codeName="Foglio14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3FF9-7FDC-4F45-9346-1B149839D86F}">
  <sheetPr codeName="Foglio15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DE7-C53E-1A4E-A5C8-82B3B2DE7752}">
  <sheetPr codeName="Foglio16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fattura 4</vt:lpstr>
      <vt:lpstr>fattura 14</vt:lpstr>
      <vt:lpstr>fattura 23</vt:lpstr>
      <vt:lpstr>fattura 341 (2)</vt:lpstr>
      <vt:lpstr>fattura 41</vt:lpstr>
      <vt:lpstr>Foglio5</vt:lpstr>
      <vt:lpstr>Foglio6</vt:lpstr>
      <vt:lpstr>Foglio7</vt:lpstr>
      <vt:lpstr>Foglio8</vt:lpstr>
      <vt:lpstr>Foglio9</vt:lpstr>
      <vt:lpstr>Foglio10</vt:lpstr>
      <vt:lpstr>Foglio11</vt:lpstr>
      <vt:lpstr>Foglio12</vt:lpstr>
      <vt:lpstr>Foglio13</vt:lpstr>
      <vt:lpstr>Foglio14</vt:lpstr>
      <vt:lpstr>Foglio15</vt:lpstr>
      <vt:lpstr>Foglio16</vt:lpstr>
    </vt:vector>
  </TitlesOfParts>
  <Company>Danea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Modello fattura in Excel</dc:title>
  <dc:subject>Fac simile fattura</dc:subject>
  <dc:creator>Danea</dc:creator>
  <cp:keywords>fattura</cp:keywords>
  <dc:description>www.danea.it</dc:description>
  <cp:lastModifiedBy>Mauro Reielli</cp:lastModifiedBy>
  <cp:lastPrinted>2026-01-28T14:46:57Z</cp:lastPrinted>
  <dcterms:created xsi:type="dcterms:W3CDTF">2003-04-23T08:59:25Z</dcterms:created>
  <dcterms:modified xsi:type="dcterms:W3CDTF">2026-09-30T20:17:08Z</dcterms:modified>
  <cp:category>Fatturazione</cp:category>
</cp:coreProperties>
</file>